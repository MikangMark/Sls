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수업\온라인수업\컴활1급\2023년 컴활1급_상시04\"/>
    </mc:Choice>
  </mc:AlternateContent>
  <xr:revisionPtr revIDLastSave="0" documentId="13_ncr:1_{20C71D15-2605-46C0-A558-6FA50DFCF993}" xr6:coauthVersionLast="47" xr6:coauthVersionMax="47" xr10:uidLastSave="{00000000-0000-0000-0000-000000000000}"/>
  <bookViews>
    <workbookView xWindow="-120" yWindow="-120" windowWidth="29040" windowHeight="15750" xr2:uid="{00000000-000D-0000-FFFF-FFFF00000000}"/>
  </bookViews>
  <sheets>
    <sheet name="기본작업-1" sheetId="2" r:id="rId1"/>
    <sheet name="기본작업-2" sheetId="3" r:id="rId2"/>
    <sheet name="계산작업" sheetId="15" r:id="rId3"/>
    <sheet name="분석작업-1" sheetId="21" r:id="rId4"/>
    <sheet name="분석작업-2" sheetId="14" r:id="rId5"/>
    <sheet name="기타작업-1" sheetId="19" r:id="rId6"/>
    <sheet name="기타작업-2" sheetId="11" r:id="rId7"/>
    <sheet name="기타작업-3" sheetId="24" r:id="rId8"/>
  </sheets>
  <functionGroups builtInGroupCount="19"/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'분석작업-2'!$B$2:$J$28</definedName>
    <definedName name="_xlnm.Criteria" localSheetId="0">'기본작업-1'!$B$34:$B$35</definedName>
    <definedName name="_xlnm.Criteria" localSheetId="1">'기본작업-2'!#REF!</definedName>
    <definedName name="_xlnm.Extract" localSheetId="0">'기본작업-1'!$B$37:$K$37</definedName>
    <definedName name="_xlnm.Extract" localSheetId="1">'기본작업-2'!#REF!</definedName>
    <definedName name="MS_Access_Database_Query" localSheetId="3" hidden="1">'분석작업-1'!#REF!</definedName>
    <definedName name="_xlnm.Print_Area" localSheetId="1">'기본작업-2'!$B$2:$K$50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5" l="1" a="1"/>
  <c r="E31" i="15" s="1"/>
  <c r="D31" i="15" a="1"/>
  <c r="D31" i="15" s="1"/>
  <c r="B31" i="15" a="1"/>
  <c r="B31" i="15" s="1"/>
  <c r="E30" i="15" a="1"/>
  <c r="E30" i="15" s="1"/>
  <c r="D30" i="15" a="1"/>
  <c r="D30" i="15" s="1"/>
  <c r="B30" i="15" a="1"/>
  <c r="B30" i="15" s="1"/>
  <c r="E29" i="15" a="1"/>
  <c r="E29" i="15" s="1"/>
  <c r="D29" i="15" a="1"/>
  <c r="D29" i="15" s="1"/>
  <c r="B29" i="15" a="1"/>
  <c r="B29" i="15" s="1"/>
  <c r="E28" i="15" a="1"/>
  <c r="E28" i="15" s="1"/>
  <c r="D28" i="15" a="1"/>
  <c r="D28" i="15" s="1"/>
  <c r="B28" i="15" a="1"/>
  <c r="B28" i="15" s="1"/>
  <c r="H24" i="15"/>
  <c r="G24" i="15"/>
  <c r="H23" i="15"/>
  <c r="G23" i="15"/>
  <c r="H22" i="15"/>
  <c r="G22" i="15"/>
  <c r="H21" i="15"/>
  <c r="G21" i="15"/>
  <c r="H20" i="15"/>
  <c r="G20" i="15"/>
  <c r="H19" i="15"/>
  <c r="G19" i="15"/>
  <c r="H18" i="15"/>
  <c r="G18" i="15"/>
  <c r="H17" i="15"/>
  <c r="G17" i="15"/>
  <c r="H16" i="15"/>
  <c r="G16" i="15"/>
  <c r="H15" i="15"/>
  <c r="G15" i="15"/>
  <c r="H14" i="15"/>
  <c r="G14" i="15"/>
  <c r="H13" i="15"/>
  <c r="G13" i="15"/>
  <c r="H12" i="15"/>
  <c r="G12" i="15"/>
  <c r="H11" i="15"/>
  <c r="G11" i="15"/>
  <c r="H10" i="15"/>
  <c r="G10" i="15"/>
  <c r="H9" i="15"/>
  <c r="G9" i="15"/>
  <c r="H8" i="15"/>
  <c r="G8" i="15"/>
  <c r="H7" i="15"/>
  <c r="G7" i="15"/>
  <c r="H6" i="15"/>
  <c r="G6" i="15"/>
  <c r="H5" i="15"/>
  <c r="G5" i="15"/>
  <c r="H4" i="15"/>
  <c r="G4" i="15"/>
  <c r="H3" i="15"/>
  <c r="G3" i="15"/>
  <c r="I9" i="15"/>
  <c r="I7" i="15"/>
  <c r="I15" i="15"/>
  <c r="I23" i="15"/>
  <c r="I14" i="15"/>
  <c r="I6" i="15"/>
  <c r="I10" i="15"/>
  <c r="I3" i="15"/>
  <c r="I11" i="15"/>
  <c r="I21" i="15"/>
  <c r="I12" i="15"/>
  <c r="I24" i="15"/>
  <c r="I17" i="15"/>
  <c r="I22" i="15"/>
  <c r="I8" i="15"/>
  <c r="I19" i="15"/>
  <c r="I5" i="15"/>
  <c r="I13" i="15"/>
  <c r="I16" i="15"/>
  <c r="I20" i="15"/>
  <c r="I18" i="15"/>
  <c r="I4" i="15"/>
  <c r="B3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6">
    <dbPr connection="DSN=MS Access Database;DBQ=D:\11 메일링서비스\컴활1급실기-메일링\2021년 상시01회\이벤트.accdb;DefaultDir=D:\11 메일링서비스\컴활1급실기-메일링\2021년 상시01회;DriverId=25;FIL=MS Access;MaxBufferSize=2048;PageTimeout=5;" command="SELECT `2월이벤트`.구분, `2월이벤트`.대상, `2월이벤트`.참가인원, `2월이벤트`.참가비_x000d__x000a_FROM `2월이벤트` `2월이벤트`"/>
  </connection>
  <connection id="2" xr16:uid="{00000000-0015-0000-FFFF-FFFF01000000}" sourceFile="C:\Users\82105\Desktop\이벤트.accdb" keepAlive="1" name="이벤트" type="5" refreshedVersion="6">
    <dbPr connection="Provider=Microsoft.ACE.OLEDB.12.0;User ID=Admin;Data Source=C:\Users\82105\Desktop\이벤트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월이벤트" commandType="3"/>
  </connection>
</connections>
</file>

<file path=xl/sharedStrings.xml><?xml version="1.0" encoding="utf-8"?>
<sst xmlns="http://schemas.openxmlformats.org/spreadsheetml/2006/main" count="673" uniqueCount="320">
  <si>
    <t>회원코드</t>
    <phoneticPr fontId="1" type="noConversion"/>
  </si>
  <si>
    <t>가입일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</si>
  <si>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</si>
  <si>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</si>
  <si>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</si>
  <si>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</si>
  <si>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</si>
  <si>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</si>
  <si>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</si>
  <si>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</si>
  <si>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</si>
  <si>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</si>
  <si>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</si>
  <si>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</si>
  <si>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</si>
  <si>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</si>
  <si>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</si>
  <si>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</si>
  <si>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</si>
  <si>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</si>
  <si>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</si>
  <si>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</si>
  <si>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</si>
  <si>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</si>
  <si>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</si>
  <si>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</si>
  <si>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</si>
  <si>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</si>
  <si>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</si>
  <si>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</si>
  <si>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</si>
  <si>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</si>
  <si>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</si>
  <si>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</si>
  <si>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</si>
  <si>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</si>
  <si>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</si>
  <si>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</si>
  <si>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</si>
  <si>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</si>
  <si>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</si>
  <si>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</si>
  <si>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</si>
  <si>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</si>
  <si>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</si>
  <si>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</si>
  <si>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</si>
  <si>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</si>
  <si>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</si>
  <si>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</si>
  <si>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</si>
  <si>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</si>
  <si>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</si>
  <si>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</si>
  <si>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</si>
  <si>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</si>
  <si>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</si>
  <si>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</si>
  <si>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</si>
  <si>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</si>
  <si>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</si>
  <si>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</si>
  <si>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</si>
  <si>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</si>
  <si>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</si>
  <si>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</si>
  <si>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</si>
  <si>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</si>
  <si>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</si>
  <si>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</si>
  <si>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</si>
  <si>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</si>
  <si>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</si>
  <si>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</si>
  <si>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</si>
  <si>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</si>
  <si>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</si>
  <si>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</si>
  <si>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</si>
  <si>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</si>
  <si>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조건</t>
    <phoneticPr fontId="1" type="noConversion"/>
  </si>
  <si>
    <t>회원코드</t>
    <phoneticPr fontId="1" type="noConversion"/>
  </si>
  <si>
    <t>가입일</t>
    <phoneticPr fontId="1" type="noConversion"/>
  </si>
  <si>
    <t>가입일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</si>
  <si>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</si>
  <si>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</si>
  <si>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</si>
  <si>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</si>
  <si>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</si>
  <si>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</si>
  <si>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</si>
  <si>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</si>
  <si>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코딩-고급</t>
    <phoneticPr fontId="1" type="noConversion"/>
  </si>
  <si>
    <t>김용태</t>
  </si>
  <si>
    <t>코딩-초급</t>
    <phoneticPr fontId="1" type="noConversion"/>
  </si>
  <si>
    <t>데이터분석-초급</t>
    <phoneticPr fontId="1" type="noConversion"/>
  </si>
  <si>
    <t>강창희</t>
  </si>
  <si>
    <t>코딩-중급</t>
    <phoneticPr fontId="1" type="noConversion"/>
  </si>
  <si>
    <t>천영주</t>
  </si>
  <si>
    <t>데이터분석-고급</t>
    <phoneticPr fontId="1" type="noConversion"/>
  </si>
  <si>
    <t>지옥민</t>
    <phoneticPr fontId="1" type="noConversion"/>
  </si>
  <si>
    <t>클라우드-초급</t>
    <phoneticPr fontId="1" type="noConversion"/>
  </si>
  <si>
    <t>한마식</t>
    <phoneticPr fontId="1" type="noConversion"/>
  </si>
  <si>
    <t>임세일</t>
    <phoneticPr fontId="1" type="noConversion"/>
  </si>
  <si>
    <t>조진홍</t>
    <phoneticPr fontId="1" type="noConversion"/>
  </si>
  <si>
    <t>박정호</t>
  </si>
  <si>
    <t>신길자</t>
  </si>
  <si>
    <t>클라우드-고급</t>
    <phoneticPr fontId="1" type="noConversion"/>
  </si>
  <si>
    <t>강진희</t>
    <phoneticPr fontId="1" type="noConversion"/>
  </si>
  <si>
    <t>클라우드-중급</t>
    <phoneticPr fontId="1" type="noConversion"/>
  </si>
  <si>
    <t>최정렬</t>
  </si>
  <si>
    <t>강경수</t>
    <phoneticPr fontId="1" type="noConversion"/>
  </si>
  <si>
    <t>데이터분석-중급</t>
    <phoneticPr fontId="1" type="noConversion"/>
  </si>
  <si>
    <t>박수동</t>
  </si>
  <si>
    <t>유현숙</t>
  </si>
  <si>
    <t>우나경</t>
    <phoneticPr fontId="1" type="noConversion"/>
  </si>
  <si>
    <t>김형민</t>
  </si>
  <si>
    <t>김소소</t>
    <phoneticPr fontId="1" type="noConversion"/>
  </si>
  <si>
    <t>김진영</t>
  </si>
  <si>
    <t>고신애</t>
  </si>
  <si>
    <t>이승혁</t>
  </si>
  <si>
    <t>신정희</t>
  </si>
  <si>
    <t>김홍성</t>
    <phoneticPr fontId="1" type="noConversion"/>
  </si>
  <si>
    <t>오덕우</t>
    <phoneticPr fontId="1" type="noConversion"/>
  </si>
  <si>
    <t>김은소</t>
    <phoneticPr fontId="1" type="noConversion"/>
  </si>
  <si>
    <t>김솔오</t>
    <phoneticPr fontId="1" type="noConversion"/>
  </si>
  <si>
    <t>양진민</t>
    <phoneticPr fontId="1" type="noConversion"/>
  </si>
  <si>
    <t>조보람</t>
  </si>
  <si>
    <t>A8952</t>
  </si>
  <si>
    <t>사미인</t>
  </si>
  <si>
    <t>B6891</t>
  </si>
  <si>
    <t>안태호</t>
  </si>
  <si>
    <t>A3717</t>
  </si>
  <si>
    <t>C8576</t>
  </si>
  <si>
    <t>김지민</t>
  </si>
  <si>
    <t>D4273</t>
  </si>
  <si>
    <t>송준석</t>
  </si>
  <si>
    <t>A9679</t>
  </si>
  <si>
    <t>D7978</t>
  </si>
  <si>
    <t>이수상</t>
  </si>
  <si>
    <t>C5822</t>
  </si>
  <si>
    <t>도우미</t>
  </si>
  <si>
    <t>D3886</t>
  </si>
  <si>
    <t>홍태완</t>
  </si>
  <si>
    <t>A8240</t>
  </si>
  <si>
    <t>은종서</t>
  </si>
  <si>
    <t>D1787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</si>
  <si>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</si>
  <si>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</si>
  <si>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</si>
  <si>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</si>
  <si>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</si>
  <si>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</si>
  <si>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</si>
  <si>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</si>
  <si>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</si>
  <si>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</si>
  <si>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</si>
  <si>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</si>
  <si>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</si>
  <si>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</si>
  <si>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</si>
  <si>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</si>
  <si>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</si>
  <si>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</si>
  <si>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</si>
  <si>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</si>
  <si>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</si>
  <si>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</si>
  <si>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</si>
  <si>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D6171</t>
  </si>
  <si>
    <t>강다구</t>
  </si>
  <si>
    <t>C3852</t>
  </si>
  <si>
    <t>나진만</t>
  </si>
  <si>
    <t>A5662</t>
  </si>
  <si>
    <t>박소희</t>
  </si>
  <si>
    <t>환자코드</t>
  </si>
  <si>
    <t>진료과목</t>
  </si>
  <si>
    <t>담당의사</t>
  </si>
  <si>
    <t>진료일</t>
  </si>
  <si>
    <t>A018</t>
  </si>
  <si>
    <t>강말순</t>
  </si>
  <si>
    <t>흉부외과</t>
  </si>
  <si>
    <t>박종식</t>
  </si>
  <si>
    <t>D052</t>
  </si>
  <si>
    <t>산부인과</t>
  </si>
  <si>
    <t>B216</t>
  </si>
  <si>
    <t>김병철</t>
  </si>
  <si>
    <t>피부과</t>
  </si>
  <si>
    <t>F302</t>
  </si>
  <si>
    <t>김상호</t>
  </si>
  <si>
    <t>소화기내과</t>
  </si>
  <si>
    <t>남민종</t>
  </si>
  <si>
    <t>D372</t>
  </si>
  <si>
    <t>김서우</t>
  </si>
  <si>
    <t>C228</t>
  </si>
  <si>
    <t>호흡기내과</t>
  </si>
  <si>
    <t>김지수</t>
  </si>
  <si>
    <t>B219</t>
  </si>
  <si>
    <t>신경외과</t>
  </si>
  <si>
    <t>F491</t>
  </si>
  <si>
    <t>박철수</t>
  </si>
  <si>
    <t>정형외과</t>
  </si>
  <si>
    <t>하석태</t>
  </si>
  <si>
    <t>A014</t>
  </si>
  <si>
    <t>성애연</t>
  </si>
  <si>
    <t>B215</t>
  </si>
  <si>
    <t>소금진</t>
  </si>
  <si>
    <t>B218</t>
  </si>
  <si>
    <t>심수미</t>
  </si>
  <si>
    <t>D051</t>
  </si>
  <si>
    <t>F301</t>
  </si>
  <si>
    <t>오현정</t>
  </si>
  <si>
    <t>D210</t>
  </si>
  <si>
    <t>용화숙</t>
  </si>
  <si>
    <t>A015</t>
  </si>
  <si>
    <t>C106</t>
  </si>
  <si>
    <t>이남석</t>
  </si>
  <si>
    <t>가정의학과</t>
  </si>
  <si>
    <t>B217</t>
  </si>
  <si>
    <t>이샛별</t>
  </si>
  <si>
    <t>A011</t>
  </si>
  <si>
    <t>이수만</t>
  </si>
  <si>
    <t xml:space="preserve">[표1] </t>
    <phoneticPr fontId="1" type="noConversion"/>
  </si>
  <si>
    <t>목련동 전기 사용 현황</t>
  </si>
  <si>
    <t>호수</t>
  </si>
  <si>
    <t>가족수</t>
  </si>
  <si>
    <t>전기사용량</t>
  </si>
  <si>
    <t>공동요금</t>
  </si>
  <si>
    <t>전기요금</t>
  </si>
  <si>
    <t>단위별공동요금</t>
  </si>
  <si>
    <t>유치</t>
  </si>
  <si>
    <t>한새미</t>
  </si>
  <si>
    <t>유</t>
  </si>
  <si>
    <t>초등</t>
  </si>
  <si>
    <t>이시환</t>
  </si>
  <si>
    <t>무</t>
  </si>
  <si>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</si>
  <si>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</si>
  <si>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</si>
  <si>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</si>
  <si>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</si>
  <si>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</si>
  <si>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</si>
  <si>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</si>
  <si>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</si>
  <si>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고인숙</t>
  </si>
  <si>
    <t>여</t>
  </si>
  <si>
    <t>기타</t>
  </si>
  <si>
    <t>단기보호</t>
  </si>
  <si>
    <t>일반</t>
  </si>
  <si>
    <t>남</t>
  </si>
  <si>
    <t>기초생활</t>
  </si>
  <si>
    <t>방문간호</t>
  </si>
  <si>
    <t>이영심</t>
  </si>
  <si>
    <t>임보미</t>
  </si>
  <si>
    <t>방문목욕</t>
  </si>
  <si>
    <t>조용희</t>
  </si>
  <si>
    <t>방문요양</t>
  </si>
  <si>
    <t>[표1]</t>
    <phoneticPr fontId="1" type="noConversion"/>
  </si>
  <si>
    <t>지역</t>
    <phoneticPr fontId="1" type="noConversion"/>
  </si>
  <si>
    <t>포지션</t>
    <phoneticPr fontId="1" type="noConversion"/>
  </si>
  <si>
    <t>실적</t>
    <phoneticPr fontId="1" type="noConversion"/>
  </si>
  <si>
    <t>연봉</t>
    <phoneticPr fontId="1" type="noConversion"/>
  </si>
  <si>
    <t>계약시작일</t>
    <phoneticPr fontId="1" type="noConversion"/>
  </si>
  <si>
    <t>계약종료일</t>
    <phoneticPr fontId="1" type="noConversion"/>
  </si>
  <si>
    <t>총수입</t>
    <phoneticPr fontId="1" type="noConversion"/>
  </si>
  <si>
    <t>인상된연봉</t>
    <phoneticPr fontId="1" type="noConversion"/>
  </si>
  <si>
    <t>연소득</t>
    <phoneticPr fontId="1" type="noConversion"/>
  </si>
  <si>
    <t>서울1</t>
    <phoneticPr fontId="1" type="noConversion"/>
  </si>
  <si>
    <t>서울1</t>
    <phoneticPr fontId="1" type="noConversion"/>
  </si>
  <si>
    <t>타자</t>
    <phoneticPr fontId="1" type="noConversion"/>
  </si>
  <si>
    <t>타자</t>
    <phoneticPr fontId="1" type="noConversion"/>
  </si>
  <si>
    <t>안양</t>
    <phoneticPr fontId="1" type="noConversion"/>
  </si>
  <si>
    <t>안양</t>
    <phoneticPr fontId="1" type="noConversion"/>
  </si>
  <si>
    <t>투수</t>
    <phoneticPr fontId="1" type="noConversion"/>
  </si>
  <si>
    <t>투수</t>
    <phoneticPr fontId="1" type="noConversion"/>
  </si>
  <si>
    <t>인천</t>
    <phoneticPr fontId="1" type="noConversion"/>
  </si>
  <si>
    <t>외야수</t>
    <phoneticPr fontId="1" type="noConversion"/>
  </si>
  <si>
    <t>서울2</t>
    <phoneticPr fontId="1" type="noConversion"/>
  </si>
  <si>
    <t>수원</t>
    <phoneticPr fontId="1" type="noConversion"/>
  </si>
  <si>
    <t>내야수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</si>
  <si>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</si>
  <si>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</si>
  <si>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</si>
  <si>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포지션</t>
    <phoneticPr fontId="1" type="noConversion"/>
  </si>
  <si>
    <t>서울지역제외</t>
    <phoneticPr fontId="1" type="noConversion"/>
  </si>
  <si>
    <t>기타포지션</t>
    <phoneticPr fontId="1" type="noConversion"/>
  </si>
  <si>
    <t>방어율</t>
    <phoneticPr fontId="1" type="noConversion"/>
  </si>
  <si>
    <t>인상률</t>
    <phoneticPr fontId="1" type="noConversion"/>
  </si>
  <si>
    <t>타율</t>
    <phoneticPr fontId="1" type="noConversion"/>
  </si>
  <si>
    <t>[표1]</t>
    <phoneticPr fontId="1" type="noConversion"/>
  </si>
  <si>
    <t>예약현황</t>
    <phoneticPr fontId="1" type="noConversion"/>
  </si>
  <si>
    <t>구분</t>
  </si>
  <si>
    <t>값</t>
  </si>
  <si>
    <t>비회원</t>
  </si>
  <si>
    <t>회원</t>
  </si>
  <si>
    <t>대상</t>
  </si>
  <si>
    <t>평균 : 참가비</t>
  </si>
  <si>
    <t>평균 : 참가인원</t>
  </si>
  <si>
    <t>어르신</t>
  </si>
  <si>
    <t>어린이</t>
  </si>
  <si>
    <t>주부</t>
  </si>
  <si>
    <t>직장인</t>
  </si>
  <si>
    <t>청소년</t>
  </si>
  <si>
    <t>총합계</t>
  </si>
  <si>
    <t>[표1]</t>
    <phoneticPr fontId="1" type="noConversion"/>
  </si>
  <si>
    <t>유치</t>
    <phoneticPr fontId="1" type="noConversion"/>
  </si>
  <si>
    <t>[표2]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</si>
  <si>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</si>
  <si>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</si>
  <si>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</si>
  <si>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</si>
  <si>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</si>
  <si>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</si>
  <si>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</si>
  <si>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구분</t>
    <phoneticPr fontId="1" type="noConversion"/>
  </si>
  <si>
    <t>유아</t>
    <phoneticPr fontId="1" type="noConversion"/>
  </si>
  <si>
    <t>초등</t>
    <phoneticPr fontId="1" type="noConversion"/>
  </si>
  <si>
    <t>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</si>
</sst>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0.0_ "/>
    <numFmt numFmtId="178" formatCode="[=1]&quot;완료&quot;;[Red][=2]&quot;미접수&quot;;&quot;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0" borderId="0"/>
    <xf numFmtId="0" fontId="2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41" fontId="0" fillId="0" borderId="1" xfId="1" applyFont="1" applyBorder="1">
      <alignment vertical="center"/>
    </xf>
    <xf numFmtId="0" fontId="7" fillId="0" borderId="1" xfId="3" applyFont="1" applyBorder="1" applyAlignment="1">
      <alignment horizontal="center" vertical="center" wrapText="1"/>
    </xf>
    <xf numFmtId="14" fontId="7" fillId="0" borderId="1" xfId="3" applyNumberFormat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4" fillId="0" borderId="0" xfId="1" applyFont="1">
      <alignment vertical="center"/>
    </xf>
    <xf numFmtId="0" fontId="8" fillId="3" borderId="1" xfId="2" applyFont="1" applyFill="1" applyBorder="1" applyAlignment="1">
      <alignment horizontal="center" vertical="center"/>
    </xf>
    <xf numFmtId="41" fontId="8" fillId="3" borderId="1" xfId="1" applyFont="1" applyFill="1" applyBorder="1" applyAlignment="1">
      <alignment horizontal="center" vertical="center"/>
    </xf>
    <xf numFmtId="41" fontId="9" fillId="0" borderId="0" xfId="1" applyFont="1" applyFill="1" applyBorder="1" applyAlignment="1">
      <alignment horizontal="center" vertical="center"/>
    </xf>
    <xf numFmtId="20" fontId="4" fillId="0" borderId="0" xfId="0" applyNumberFormat="1" applyFont="1">
      <alignment vertical="center"/>
    </xf>
    <xf numFmtId="20" fontId="4" fillId="0" borderId="0" xfId="1" applyNumberFormat="1" applyFont="1">
      <alignment vertical="center"/>
    </xf>
    <xf numFmtId="3" fontId="4" fillId="0" borderId="1" xfId="1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9" fontId="0" fillId="4" borderId="1" xfId="0" applyNumberFormat="1" applyFill="1" applyBorder="1">
      <alignment vertical="center"/>
    </xf>
    <xf numFmtId="0" fontId="0" fillId="4" borderId="1" xfId="0" applyFill="1" applyBorder="1" applyAlignment="1">
      <alignment horizontal="center" vertical="center"/>
    </xf>
  </cellXfs>
  <cellStyles count="5">
    <cellStyle name="60% - 강조색1" xfId="2" builtinId="32"/>
    <cellStyle name="쉼표 [0]" xfId="1" builtinId="6"/>
    <cellStyle name="표준" xfId="0" builtinId="0"/>
    <cellStyle name="표준 2" xfId="4" xr:uid="{00000000-0005-0000-0000-000003000000}"/>
    <cellStyle name="표준_기본작업-1" xfId="3" xr:uid="{00000000-0005-0000-0000-000004000000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'기타작업-2'!$C$1</c:f>
          <c:strCache>
            <c:ptCount val="1"/>
            <c:pt idx="0">
              <c:v>목련동 전기 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1-495B-8476-6731524AC35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724464400"/>
        <c:axId val="1724483952"/>
      </c:barChart>
      <c:lineChart>
        <c:grouping val="standard"/>
        <c:varyColors val="0"/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B1-495B-8476-6731524AC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304976"/>
        <c:axId val="1708294160"/>
      </c:lineChart>
      <c:catAx>
        <c:axId val="17244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'기타작업-2'!$B$2</c:f>
              <c:strCache>
                <c:ptCount val="1"/>
                <c:pt idx="0">
                  <c:v>호수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valAx>
        <c:axId val="1708294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8304976"/>
        <c:crosses val="max"/>
        <c:crossBetween val="between"/>
      </c:valAx>
      <c:catAx>
        <c:axId val="1708304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294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25601" name="cmd등록작업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우경" refreshedDate="44219.63269525463" createdVersion="6" refreshedVersion="6" minRefreshableVersion="3" recordCount="31" xr:uid="{00000000-000A-0000-FFFF-FFFF00000000}">
  <cacheSource type="external" connectionId="1"/>
  <cacheFields count="4">
    <cacheField name="구분" numFmtId="0" sqlType="-9">
      <sharedItems count="2">
        <s v="회원"/>
        <s v="비회원"/>
      </sharedItems>
    </cacheField>
    <cacheField name="대상" numFmtId="0" sqlType="-9">
      <sharedItems count="5">
        <s v="어르신"/>
        <s v="청소년"/>
        <s v="주부"/>
        <s v="직장인"/>
        <s v="어린이"/>
      </sharedItems>
    </cacheField>
    <cacheField name="참가인원" numFmtId="0" sqlType="4">
      <sharedItems containsSemiMixedTypes="0" containsString="0" containsNumber="1" containsInteger="1" minValue="1" maxValue="39" count="23">
        <n v="25"/>
        <n v="39"/>
        <n v="20"/>
        <n v="35"/>
        <n v="11"/>
        <n v="9"/>
        <n v="5"/>
        <n v="19"/>
        <n v="6"/>
        <n v="16"/>
        <n v="8"/>
        <n v="10"/>
        <n v="37"/>
        <n v="31"/>
        <n v="30"/>
        <n v="13"/>
        <n v="2"/>
        <n v="22"/>
        <n v="23"/>
        <n v="29"/>
        <n v="28"/>
        <n v="1"/>
        <n v="21"/>
      </sharedItems>
    </cacheField>
    <cacheField name="참가비" numFmtId="0" sqlType="2">
      <sharedItems containsSemiMixedTypes="0" containsString="0" containsNumber="1" containsInteger="1" minValue="0" maxValue="764750" count="28">
        <n v="171500"/>
        <n v="370500"/>
        <n v="294000"/>
        <n v="764750"/>
        <n v="194040"/>
        <n v="88200"/>
        <n v="89100"/>
        <n v="0"/>
        <n v="106920"/>
        <n v="109760"/>
        <n v="142560"/>
        <n v="68600"/>
        <n v="538350"/>
        <n v="210490"/>
        <n v="342000"/>
        <n v="126100"/>
        <n v="36000"/>
        <n v="419520"/>
        <n v="388080"/>
        <n v="30000"/>
        <n v="646020"/>
        <n v="118800"/>
        <n v="338100"/>
        <n v="235200"/>
        <n v="493920"/>
        <n v="10000"/>
        <n v="34650"/>
        <n v="3087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0"/>
    <x v="1"/>
    <x v="1"/>
    <x v="1"/>
  </r>
  <r>
    <x v="1"/>
    <x v="2"/>
    <x v="2"/>
    <x v="2"/>
  </r>
  <r>
    <x v="0"/>
    <x v="2"/>
    <x v="3"/>
    <x v="3"/>
  </r>
  <r>
    <x v="0"/>
    <x v="3"/>
    <x v="4"/>
    <x v="4"/>
  </r>
  <r>
    <x v="0"/>
    <x v="2"/>
    <x v="5"/>
    <x v="5"/>
  </r>
  <r>
    <x v="0"/>
    <x v="0"/>
    <x v="6"/>
    <x v="6"/>
  </r>
  <r>
    <x v="1"/>
    <x v="4"/>
    <x v="7"/>
    <x v="7"/>
  </r>
  <r>
    <x v="0"/>
    <x v="0"/>
    <x v="8"/>
    <x v="8"/>
  </r>
  <r>
    <x v="1"/>
    <x v="3"/>
    <x v="9"/>
    <x v="9"/>
  </r>
  <r>
    <x v="0"/>
    <x v="1"/>
    <x v="10"/>
    <x v="10"/>
  </r>
  <r>
    <x v="0"/>
    <x v="3"/>
    <x v="11"/>
    <x v="11"/>
  </r>
  <r>
    <x v="0"/>
    <x v="1"/>
    <x v="12"/>
    <x v="12"/>
  </r>
  <r>
    <x v="1"/>
    <x v="0"/>
    <x v="13"/>
    <x v="13"/>
  </r>
  <r>
    <x v="1"/>
    <x v="2"/>
    <x v="14"/>
    <x v="14"/>
  </r>
  <r>
    <x v="0"/>
    <x v="4"/>
    <x v="12"/>
    <x v="7"/>
  </r>
  <r>
    <x v="1"/>
    <x v="1"/>
    <x v="15"/>
    <x v="15"/>
  </r>
  <r>
    <x v="0"/>
    <x v="2"/>
    <x v="16"/>
    <x v="16"/>
  </r>
  <r>
    <x v="1"/>
    <x v="1"/>
    <x v="7"/>
    <x v="17"/>
  </r>
  <r>
    <x v="1"/>
    <x v="3"/>
    <x v="17"/>
    <x v="18"/>
  </r>
  <r>
    <x v="0"/>
    <x v="1"/>
    <x v="16"/>
    <x v="19"/>
  </r>
  <r>
    <x v="1"/>
    <x v="4"/>
    <x v="12"/>
    <x v="20"/>
  </r>
  <r>
    <x v="0"/>
    <x v="2"/>
    <x v="10"/>
    <x v="21"/>
  </r>
  <r>
    <x v="0"/>
    <x v="1"/>
    <x v="18"/>
    <x v="22"/>
  </r>
  <r>
    <x v="0"/>
    <x v="2"/>
    <x v="9"/>
    <x v="23"/>
  </r>
  <r>
    <x v="0"/>
    <x v="4"/>
    <x v="19"/>
    <x v="7"/>
  </r>
  <r>
    <x v="0"/>
    <x v="3"/>
    <x v="20"/>
    <x v="24"/>
  </r>
  <r>
    <x v="1"/>
    <x v="1"/>
    <x v="2"/>
    <x v="2"/>
  </r>
  <r>
    <x v="0"/>
    <x v="2"/>
    <x v="21"/>
    <x v="25"/>
  </r>
  <r>
    <x v="1"/>
    <x v="3"/>
    <x v="6"/>
    <x v="26"/>
  </r>
  <r>
    <x v="0"/>
    <x v="3"/>
    <x v="22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 fieldListSortAscending="1">
  <location ref="B2:F10" firstHeaderRow="1" firstDataRow="3" firstDataCol="1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6">
        <item x="0"/>
        <item x="4"/>
        <item x="2"/>
        <item x="3"/>
        <item x="1"/>
        <item t="default"/>
      </items>
    </pivotField>
    <pivotField dataField="1" compact="0" showAll="0"/>
    <pivotField dataField="1" compact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평균 : 참가비" fld="3" subtotal="average" baseField="1" baseItem="2" numFmtId="176"/>
    <dataField name="평균 : 참가인원" fld="2" subtotal="average" baseField="1" baseItem="2" numFmtId="177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K40"/>
  <sheetViews>
    <sheetView tabSelected="1" workbookViewId="0">
      <selection activeCell="B1" sqref="B1"/>
    </sheetView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3">
      <c r="B3" s="2" t="s">
        <v>10</v>
      </c>
      <c r="C3" s="3">
        <v>44473</v>
      </c>
      <c r="D3" s="2" t="s">
        <v>11</v>
      </c>
      <c r="E3" s="4" t="s">
        <v>12</v>
      </c>
      <c r="F3" s="4">
        <v>24</v>
      </c>
      <c r="G3" s="4">
        <v>1</v>
      </c>
      <c r="H3" s="1" t="s">
        <v>13</v>
      </c>
      <c r="I3" s="1" t="s">
        <v>13</v>
      </c>
      <c r="J3" s="1"/>
      <c r="K3" s="4">
        <v>250</v>
      </c>
    </row>
    <row r="4" spans="2:11" x14ac:dyDescent="0.3">
      <c r="B4" s="1" t="s">
        <v>14</v>
      </c>
      <c r="C4" s="3">
        <v>43274</v>
      </c>
      <c r="D4" s="1" t="s">
        <v>15</v>
      </c>
      <c r="E4" s="4" t="s">
        <v>16</v>
      </c>
      <c r="F4" s="4">
        <v>25</v>
      </c>
      <c r="G4" s="4">
        <v>0</v>
      </c>
      <c r="H4" s="1" t="s">
        <v>13</v>
      </c>
      <c r="I4" s="1" t="s">
        <v>13</v>
      </c>
      <c r="J4" s="1"/>
      <c r="K4" s="4">
        <v>240</v>
      </c>
    </row>
    <row r="5" spans="2:11" x14ac:dyDescent="0.3">
      <c r="B5" s="2" t="s">
        <v>17</v>
      </c>
      <c r="C5" s="3">
        <v>43378</v>
      </c>
      <c r="D5" s="2" t="s">
        <v>18</v>
      </c>
      <c r="E5" s="4" t="s">
        <v>12</v>
      </c>
      <c r="F5" s="4">
        <v>25</v>
      </c>
      <c r="G5" s="4">
        <v>0</v>
      </c>
      <c r="H5" s="1"/>
      <c r="I5" s="1"/>
      <c r="J5" s="1" t="s">
        <v>13</v>
      </c>
      <c r="K5" s="4">
        <v>215</v>
      </c>
    </row>
    <row r="6" spans="2:11" x14ac:dyDescent="0.3">
      <c r="B6" s="2" t="s">
        <v>19</v>
      </c>
      <c r="C6" s="3">
        <v>43211</v>
      </c>
      <c r="D6" s="2" t="s">
        <v>20</v>
      </c>
      <c r="E6" s="4" t="s">
        <v>21</v>
      </c>
      <c r="F6" s="4">
        <v>23</v>
      </c>
      <c r="G6" s="4">
        <v>2</v>
      </c>
      <c r="H6" s="1" t="s">
        <v>319</v>
      </c>
      <c r="I6" s="1"/>
      <c r="J6" s="1"/>
      <c r="K6" s="4">
        <v>220</v>
      </c>
    </row>
    <row r="7" spans="2:11" x14ac:dyDescent="0.3">
      <c r="B7" s="2" t="s">
        <v>22</v>
      </c>
      <c r="C7" s="3">
        <v>43964</v>
      </c>
      <c r="D7" s="2" t="s">
        <v>23</v>
      </c>
      <c r="E7" s="4" t="s">
        <v>24</v>
      </c>
      <c r="F7" s="4">
        <v>23</v>
      </c>
      <c r="G7" s="4">
        <v>2</v>
      </c>
      <c r="H7" s="1" t="s">
        <v>13</v>
      </c>
      <c r="I7" s="1"/>
      <c r="J7" s="1"/>
      <c r="K7" s="4">
        <v>220</v>
      </c>
    </row>
    <row r="8" spans="2:11" x14ac:dyDescent="0.3">
      <c r="B8" s="2" t="s">
        <v>25</v>
      </c>
      <c r="C8" s="3">
        <v>43375</v>
      </c>
      <c r="D8" s="2" t="s">
        <v>26</v>
      </c>
      <c r="E8" s="4" t="s">
        <v>27</v>
      </c>
      <c r="F8" s="4">
        <v>22</v>
      </c>
      <c r="G8" s="4">
        <v>3</v>
      </c>
      <c r="H8" s="1" t="s">
        <v>13</v>
      </c>
      <c r="I8" s="1"/>
      <c r="J8" s="1" t="s">
        <v>13</v>
      </c>
      <c r="K8" s="4">
        <v>265</v>
      </c>
    </row>
    <row r="9" spans="2:11" x14ac:dyDescent="0.3">
      <c r="B9" s="2" t="s">
        <v>28</v>
      </c>
      <c r="C9" s="3">
        <v>43332</v>
      </c>
      <c r="D9" s="2" t="s">
        <v>29</v>
      </c>
      <c r="E9" s="4" t="s">
        <v>21</v>
      </c>
      <c r="F9" s="4">
        <v>20</v>
      </c>
      <c r="G9" s="4">
        <v>5</v>
      </c>
      <c r="H9" s="1"/>
      <c r="I9" s="1"/>
      <c r="J9" s="1" t="s">
        <v>13</v>
      </c>
      <c r="K9" s="4">
        <v>235</v>
      </c>
    </row>
    <row r="10" spans="2:11" x14ac:dyDescent="0.3">
      <c r="B10" s="2" t="s">
        <v>30</v>
      </c>
      <c r="C10" s="3">
        <v>43760</v>
      </c>
      <c r="D10" s="2" t="s">
        <v>31</v>
      </c>
      <c r="E10" s="4" t="s">
        <v>16</v>
      </c>
      <c r="F10" s="4">
        <v>24</v>
      </c>
      <c r="G10" s="4">
        <v>1</v>
      </c>
      <c r="H10" s="1"/>
      <c r="I10" s="1" t="s">
        <v>13</v>
      </c>
      <c r="J10" s="1"/>
      <c r="K10" s="4">
        <v>230</v>
      </c>
    </row>
    <row r="11" spans="2:11" x14ac:dyDescent="0.3">
      <c r="B11" s="2" t="s">
        <v>32</v>
      </c>
      <c r="C11" s="3">
        <v>44383</v>
      </c>
      <c r="D11" s="2" t="s">
        <v>33</v>
      </c>
      <c r="E11" s="4" t="s">
        <v>34</v>
      </c>
      <c r="F11" s="4">
        <v>25</v>
      </c>
      <c r="G11" s="4">
        <v>0</v>
      </c>
      <c r="H11" s="1" t="s">
        <v>13</v>
      </c>
      <c r="I11" s="1" t="s">
        <v>13</v>
      </c>
      <c r="J11" s="1" t="s">
        <v>13</v>
      </c>
      <c r="K11" s="4">
        <v>260</v>
      </c>
    </row>
    <row r="12" spans="2:11" x14ac:dyDescent="0.3">
      <c r="B12" s="2" t="s">
        <v>35</v>
      </c>
      <c r="C12" s="3">
        <v>43986</v>
      </c>
      <c r="D12" s="2" t="s">
        <v>36</v>
      </c>
      <c r="E12" s="4" t="s">
        <v>34</v>
      </c>
      <c r="F12" s="4">
        <v>24</v>
      </c>
      <c r="G12" s="4">
        <v>1</v>
      </c>
      <c r="H12" s="1" t="s">
        <v>13</v>
      </c>
      <c r="I12" s="1"/>
      <c r="J12" s="1"/>
      <c r="K12" s="4">
        <v>250</v>
      </c>
    </row>
    <row r="13" spans="2:11" x14ac:dyDescent="0.3">
      <c r="B13" s="2" t="s">
        <v>37</v>
      </c>
      <c r="C13" s="3">
        <v>43257</v>
      </c>
      <c r="D13" s="2" t="s">
        <v>38</v>
      </c>
      <c r="E13" s="4" t="s">
        <v>39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40</v>
      </c>
      <c r="C14" s="3">
        <v>43573</v>
      </c>
      <c r="D14" s="2" t="s">
        <v>41</v>
      </c>
      <c r="E14" s="4" t="s">
        <v>39</v>
      </c>
      <c r="F14" s="4">
        <v>25</v>
      </c>
      <c r="G14" s="4">
        <v>0</v>
      </c>
      <c r="H14" s="1" t="s">
        <v>13</v>
      </c>
      <c r="I14" s="1"/>
      <c r="J14" s="1" t="s">
        <v>13</v>
      </c>
      <c r="K14" s="4">
        <v>255</v>
      </c>
    </row>
    <row r="15" spans="2:11" x14ac:dyDescent="0.3">
      <c r="B15" s="1" t="s">
        <v>42</v>
      </c>
      <c r="C15" s="3">
        <v>43150</v>
      </c>
      <c r="D15" s="1" t="s">
        <v>43</v>
      </c>
      <c r="E15" s="4" t="s">
        <v>27</v>
      </c>
      <c r="F15" s="4">
        <v>25</v>
      </c>
      <c r="G15" s="4">
        <v>0</v>
      </c>
      <c r="H15" s="1" t="s">
        <v>13</v>
      </c>
      <c r="I15" s="1"/>
      <c r="J15" s="1"/>
      <c r="K15" s="4">
        <v>210</v>
      </c>
    </row>
    <row r="16" spans="2:11" x14ac:dyDescent="0.3">
      <c r="B16" s="2" t="s">
        <v>44</v>
      </c>
      <c r="C16" s="3">
        <v>43135</v>
      </c>
      <c r="D16" s="2" t="s">
        <v>45</v>
      </c>
      <c r="E16" s="4" t="s">
        <v>24</v>
      </c>
      <c r="F16" s="4">
        <v>25</v>
      </c>
      <c r="G16" s="4">
        <v>0</v>
      </c>
      <c r="H16" s="1"/>
      <c r="I16" s="1"/>
      <c r="J16" s="1" t="s">
        <v>13</v>
      </c>
      <c r="K16" s="4">
        <v>230</v>
      </c>
    </row>
    <row r="17" spans="2:11" x14ac:dyDescent="0.3">
      <c r="B17" s="2" t="s">
        <v>46</v>
      </c>
      <c r="C17" s="3">
        <v>44357</v>
      </c>
      <c r="D17" s="2" t="s">
        <v>47</v>
      </c>
      <c r="E17" s="4" t="s">
        <v>34</v>
      </c>
      <c r="F17" s="4">
        <v>24</v>
      </c>
      <c r="G17" s="4">
        <v>1</v>
      </c>
      <c r="H17" s="1"/>
      <c r="I17" s="1" t="s">
        <v>13</v>
      </c>
      <c r="J17" s="1" t="s">
        <v>13</v>
      </c>
      <c r="K17" s="4">
        <v>245</v>
      </c>
    </row>
    <row r="18" spans="2:11" x14ac:dyDescent="0.3">
      <c r="B18" s="2" t="s">
        <v>48</v>
      </c>
      <c r="C18" s="3">
        <v>43181</v>
      </c>
      <c r="D18" s="2" t="s">
        <v>49</v>
      </c>
      <c r="E18" s="4" t="s">
        <v>50</v>
      </c>
      <c r="F18" s="4">
        <v>25</v>
      </c>
      <c r="G18" s="4">
        <v>0</v>
      </c>
      <c r="H18" s="1"/>
      <c r="I18" s="1" t="s">
        <v>13</v>
      </c>
      <c r="J18" s="1" t="s">
        <v>13</v>
      </c>
      <c r="K18" s="4">
        <v>250</v>
      </c>
    </row>
    <row r="19" spans="2:11" x14ac:dyDescent="0.3">
      <c r="B19" s="2" t="s">
        <v>51</v>
      </c>
      <c r="C19" s="3">
        <v>43274</v>
      </c>
      <c r="D19" s="2" t="s">
        <v>52</v>
      </c>
      <c r="E19" s="4" t="s">
        <v>21</v>
      </c>
      <c r="F19" s="4">
        <v>23</v>
      </c>
      <c r="G19" s="4">
        <v>2</v>
      </c>
      <c r="H19" s="1"/>
      <c r="I19" s="1" t="s">
        <v>13</v>
      </c>
      <c r="J19" s="1"/>
      <c r="K19" s="4">
        <v>230</v>
      </c>
    </row>
    <row r="20" spans="2:11" x14ac:dyDescent="0.3">
      <c r="B20" s="2" t="s">
        <v>53</v>
      </c>
      <c r="C20" s="3">
        <v>43523</v>
      </c>
      <c r="D20" s="2" t="s">
        <v>54</v>
      </c>
      <c r="E20" s="4" t="s">
        <v>34</v>
      </c>
      <c r="F20" s="4">
        <v>25</v>
      </c>
      <c r="G20" s="4">
        <v>0</v>
      </c>
      <c r="H20" s="1" t="s">
        <v>13</v>
      </c>
      <c r="I20" s="1"/>
      <c r="J20" s="1" t="s">
        <v>13</v>
      </c>
      <c r="K20" s="4">
        <v>240</v>
      </c>
    </row>
    <row r="21" spans="2:11" x14ac:dyDescent="0.3">
      <c r="B21" s="2" t="s">
        <v>55</v>
      </c>
      <c r="C21" s="3">
        <v>43592</v>
      </c>
      <c r="D21" s="2" t="s">
        <v>56</v>
      </c>
      <c r="E21" s="4" t="s">
        <v>57</v>
      </c>
      <c r="F21" s="4">
        <v>25</v>
      </c>
      <c r="G21" s="4">
        <v>0</v>
      </c>
      <c r="H21" s="1" t="s">
        <v>13</v>
      </c>
      <c r="I21" s="1" t="s">
        <v>13</v>
      </c>
      <c r="J21" s="1" t="s">
        <v>13</v>
      </c>
      <c r="K21" s="4">
        <v>280</v>
      </c>
    </row>
    <row r="22" spans="2:11" x14ac:dyDescent="0.3">
      <c r="B22" s="2" t="s">
        <v>58</v>
      </c>
      <c r="C22" s="3">
        <v>43605</v>
      </c>
      <c r="D22" s="2" t="s">
        <v>59</v>
      </c>
      <c r="E22" s="4" t="s">
        <v>21</v>
      </c>
      <c r="F22" s="4">
        <v>25</v>
      </c>
      <c r="G22" s="4">
        <v>0</v>
      </c>
      <c r="H22" s="1" t="s">
        <v>13</v>
      </c>
      <c r="I22" s="1" t="s">
        <v>13</v>
      </c>
      <c r="J22" s="1" t="s">
        <v>13</v>
      </c>
      <c r="K22" s="4">
        <v>270</v>
      </c>
    </row>
    <row r="23" spans="2:11" x14ac:dyDescent="0.3">
      <c r="B23" s="2" t="s">
        <v>60</v>
      </c>
      <c r="C23" s="3">
        <v>44086</v>
      </c>
      <c r="D23" s="2" t="s">
        <v>61</v>
      </c>
      <c r="E23" s="4" t="s">
        <v>39</v>
      </c>
      <c r="F23" s="4">
        <v>24</v>
      </c>
      <c r="G23" s="4">
        <v>1</v>
      </c>
      <c r="H23" s="1" t="s">
        <v>13</v>
      </c>
      <c r="I23" s="1" t="s">
        <v>13</v>
      </c>
      <c r="J23" s="1" t="s">
        <v>13</v>
      </c>
      <c r="K23" s="4">
        <v>290</v>
      </c>
    </row>
    <row r="24" spans="2:11" x14ac:dyDescent="0.3">
      <c r="B24" s="2" t="s">
        <v>62</v>
      </c>
      <c r="C24" s="3">
        <v>43217</v>
      </c>
      <c r="D24" s="2" t="s">
        <v>63</v>
      </c>
      <c r="E24" s="4" t="s">
        <v>24</v>
      </c>
      <c r="F24" s="4">
        <v>25</v>
      </c>
      <c r="G24" s="4">
        <v>0</v>
      </c>
      <c r="H24" s="1" t="s">
        <v>13</v>
      </c>
      <c r="I24" s="1" t="s">
        <v>13</v>
      </c>
      <c r="J24" s="1" t="s">
        <v>13</v>
      </c>
      <c r="K24" s="4">
        <v>265</v>
      </c>
    </row>
    <row r="25" spans="2:11" x14ac:dyDescent="0.3">
      <c r="B25" s="2" t="s">
        <v>64</v>
      </c>
      <c r="C25" s="3">
        <v>44481</v>
      </c>
      <c r="D25" s="2" t="s">
        <v>65</v>
      </c>
      <c r="E25" s="4" t="s">
        <v>34</v>
      </c>
      <c r="F25" s="4">
        <v>23</v>
      </c>
      <c r="G25" s="4">
        <v>2</v>
      </c>
      <c r="H25" s="1" t="s">
        <v>13</v>
      </c>
      <c r="I25" s="1"/>
      <c r="J25" s="1"/>
      <c r="K25" s="4">
        <v>205</v>
      </c>
    </row>
    <row r="26" spans="2:11" x14ac:dyDescent="0.3">
      <c r="B26" s="2" t="s">
        <v>66</v>
      </c>
      <c r="C26" s="3">
        <v>43399</v>
      </c>
      <c r="D26" s="2" t="s">
        <v>67</v>
      </c>
      <c r="E26" s="4" t="s">
        <v>39</v>
      </c>
      <c r="F26" s="4">
        <v>23</v>
      </c>
      <c r="G26" s="4">
        <v>2</v>
      </c>
      <c r="H26" s="1"/>
      <c r="I26" s="1" t="s">
        <v>13</v>
      </c>
      <c r="J26" s="1" t="s">
        <v>13</v>
      </c>
      <c r="K26" s="4">
        <v>230</v>
      </c>
    </row>
    <row r="27" spans="2:11" x14ac:dyDescent="0.3">
      <c r="B27" s="2" t="s">
        <v>68</v>
      </c>
      <c r="C27" s="3">
        <v>43977</v>
      </c>
      <c r="D27" s="2" t="s">
        <v>69</v>
      </c>
      <c r="E27" s="4" t="s">
        <v>50</v>
      </c>
      <c r="F27" s="4">
        <v>15</v>
      </c>
      <c r="G27" s="4">
        <v>10</v>
      </c>
      <c r="H27" s="1" t="s">
        <v>13</v>
      </c>
      <c r="I27" s="1" t="s">
        <v>13</v>
      </c>
      <c r="J27" s="1" t="s">
        <v>13</v>
      </c>
      <c r="K27" s="4">
        <v>260</v>
      </c>
    </row>
    <row r="28" spans="2:11" x14ac:dyDescent="0.3">
      <c r="B28" s="2" t="s">
        <v>70</v>
      </c>
      <c r="C28" s="3">
        <v>44440</v>
      </c>
      <c r="D28" s="2" t="s">
        <v>71</v>
      </c>
      <c r="E28" s="4" t="s">
        <v>21</v>
      </c>
      <c r="F28" s="4">
        <v>25</v>
      </c>
      <c r="G28" s="4">
        <v>0</v>
      </c>
      <c r="H28" s="1"/>
      <c r="I28" s="1" t="s">
        <v>13</v>
      </c>
      <c r="J28" s="1"/>
      <c r="K28" s="4">
        <v>200</v>
      </c>
    </row>
    <row r="29" spans="2:11" x14ac:dyDescent="0.3">
      <c r="B29" s="2" t="s">
        <v>72</v>
      </c>
      <c r="C29" s="3">
        <v>43325</v>
      </c>
      <c r="D29" s="2" t="s">
        <v>73</v>
      </c>
      <c r="E29" s="4" t="s">
        <v>16</v>
      </c>
      <c r="F29" s="4">
        <v>25</v>
      </c>
      <c r="G29" s="4">
        <v>0</v>
      </c>
      <c r="H29" s="1"/>
      <c r="I29" s="1" t="s">
        <v>13</v>
      </c>
      <c r="J29" s="1"/>
      <c r="K29" s="4">
        <v>215</v>
      </c>
    </row>
    <row r="30" spans="2:11" x14ac:dyDescent="0.3">
      <c r="B30" s="2" t="s">
        <v>74</v>
      </c>
      <c r="C30" s="3">
        <v>43567</v>
      </c>
      <c r="D30" s="2" t="s">
        <v>75</v>
      </c>
      <c r="E30" s="4" t="s">
        <v>57</v>
      </c>
      <c r="F30" s="4">
        <v>22</v>
      </c>
      <c r="G30" s="4">
        <v>3</v>
      </c>
      <c r="H30" s="1" t="s">
        <v>13</v>
      </c>
      <c r="I30" s="1" t="s">
        <v>13</v>
      </c>
      <c r="J30" s="1" t="s">
        <v>13</v>
      </c>
      <c r="K30" s="4">
        <v>280</v>
      </c>
    </row>
    <row r="31" spans="2:11" x14ac:dyDescent="0.3">
      <c r="B31" s="2" t="s">
        <v>76</v>
      </c>
      <c r="C31" s="3">
        <v>43321</v>
      </c>
      <c r="D31" s="2" t="s">
        <v>77</v>
      </c>
      <c r="E31" s="4" t="s">
        <v>34</v>
      </c>
      <c r="F31" s="4">
        <v>23</v>
      </c>
      <c r="G31" s="4">
        <v>2</v>
      </c>
      <c r="H31" s="1"/>
      <c r="I31" s="1" t="s">
        <v>13</v>
      </c>
      <c r="J31" s="1"/>
      <c r="K31" s="4">
        <v>235</v>
      </c>
    </row>
    <row r="32" spans="2:11" x14ac:dyDescent="0.3">
      <c r="B32" s="1" t="s">
        <v>78</v>
      </c>
      <c r="C32" s="3">
        <v>43955</v>
      </c>
      <c r="D32" s="1" t="s">
        <v>79</v>
      </c>
      <c r="E32" s="4" t="s">
        <v>39</v>
      </c>
      <c r="F32" s="4">
        <v>17</v>
      </c>
      <c r="G32" s="4">
        <v>8</v>
      </c>
      <c r="H32" s="1" t="s">
        <v>13</v>
      </c>
      <c r="I32" s="1" t="s">
        <v>13</v>
      </c>
      <c r="J32" s="1" t="s">
        <v>13</v>
      </c>
      <c r="K32" s="4">
        <v>265</v>
      </c>
    </row>
    <row r="34" spans="2:11" x14ac:dyDescent="0.3">
      <c r="B34" s="5" t="s">
        <v>80</v>
      </c>
    </row>
    <row r="35" spans="2:11" x14ac:dyDescent="0.3">
      <c r="B35" t="b">
        <f>AND(COUNTA(H3:J3)=3,K3&gt;=280)</f>
        <v>0</v>
      </c>
    </row>
    <row r="37" spans="2:11" x14ac:dyDescent="0.3">
      <c r="B37" s="1" t="s">
        <v>81</v>
      </c>
      <c r="C37" s="1" t="s">
        <v>82</v>
      </c>
      <c r="D37" s="1" t="s">
        <v>2</v>
      </c>
      <c r="E37" s="2" t="s">
        <v>3</v>
      </c>
      <c r="F37" s="1" t="s">
        <v>4</v>
      </c>
      <c r="G37" s="1" t="s">
        <v>5</v>
      </c>
      <c r="H37" s="1" t="s">
        <v>6</v>
      </c>
      <c r="I37" s="1" t="s">
        <v>7</v>
      </c>
      <c r="J37" s="1" t="s">
        <v>8</v>
      </c>
      <c r="K37" s="1" t="s">
        <v>9</v>
      </c>
    </row>
    <row r="38" spans="2:11" x14ac:dyDescent="0.3">
      <c r="B38" s="2" t="s">
        <v>55</v>
      </c>
      <c r="C38" s="3">
        <v>43592</v>
      </c>
      <c r="D38" s="2" t="s">
        <v>56</v>
      </c>
      <c r="E38" s="4" t="s">
        <v>57</v>
      </c>
      <c r="F38" s="4">
        <v>25</v>
      </c>
      <c r="G38" s="4">
        <v>0</v>
      </c>
      <c r="H38" s="1" t="s">
        <v>13</v>
      </c>
      <c r="I38" s="1" t="s">
        <v>13</v>
      </c>
      <c r="J38" s="1" t="s">
        <v>13</v>
      </c>
      <c r="K38" s="4">
        <v>280</v>
      </c>
    </row>
    <row r="39" spans="2:11" x14ac:dyDescent="0.3">
      <c r="B39" s="2" t="s">
        <v>60</v>
      </c>
      <c r="C39" s="3">
        <v>44086</v>
      </c>
      <c r="D39" s="2" t="s">
        <v>61</v>
      </c>
      <c r="E39" s="4" t="s">
        <v>39</v>
      </c>
      <c r="F39" s="4">
        <v>24</v>
      </c>
      <c r="G39" s="4">
        <v>1</v>
      </c>
      <c r="H39" s="1" t="s">
        <v>13</v>
      </c>
      <c r="I39" s="1" t="s">
        <v>13</v>
      </c>
      <c r="J39" s="1" t="s">
        <v>13</v>
      </c>
      <c r="K39" s="4">
        <v>290</v>
      </c>
    </row>
    <row r="40" spans="2:11" x14ac:dyDescent="0.3">
      <c r="B40" s="2" t="s">
        <v>74</v>
      </c>
      <c r="C40" s="3">
        <v>43567</v>
      </c>
      <c r="D40" s="2" t="s">
        <v>75</v>
      </c>
      <c r="E40" s="4" t="s">
        <v>57</v>
      </c>
      <c r="F40" s="4">
        <v>22</v>
      </c>
      <c r="G40" s="4">
        <v>3</v>
      </c>
      <c r="H40" s="1" t="s">
        <v>13</v>
      </c>
      <c r="I40" s="1" t="s">
        <v>13</v>
      </c>
      <c r="J40" s="1" t="s">
        <v>13</v>
      </c>
      <c r="K40" s="4">
        <v>280</v>
      </c>
    </row>
  </sheetData>
  <phoneticPr fontId="1" type="noConversion"/>
  <conditionalFormatting sqref="B3:K32">
    <cfRule type="expression" dxfId="0" priority="1">
      <formula>AND(MOD(LEFT($B3,2),2)=0,YEAR($C3)=2018)</formula>
    </cfRule>
  </conditionalFormatting>
  <pageMargins left="0.39370078740157483" right="0.39370078740157483" top="0.74803149606299213" bottom="0.74803149606299213" header="0.31496062992125984" footer="0.31496062992125984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2:K50"/>
  <sheetViews>
    <sheetView workbookViewId="0"/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81</v>
      </c>
      <c r="C2" s="1" t="s">
        <v>83</v>
      </c>
      <c r="D2" s="1" t="s">
        <v>84</v>
      </c>
      <c r="E2" s="2" t="s">
        <v>85</v>
      </c>
      <c r="F2" s="1" t="s">
        <v>86</v>
      </c>
      <c r="G2" s="1" t="s">
        <v>87</v>
      </c>
      <c r="H2" s="1" t="s">
        <v>88</v>
      </c>
      <c r="I2" s="1" t="s">
        <v>89</v>
      </c>
      <c r="J2" s="1" t="s">
        <v>90</v>
      </c>
      <c r="K2" s="1" t="s">
        <v>91</v>
      </c>
    </row>
    <row r="3" spans="2:11" x14ac:dyDescent="0.3">
      <c r="B3" s="2" t="s">
        <v>25</v>
      </c>
      <c r="C3" s="3">
        <v>43375</v>
      </c>
      <c r="D3" s="2" t="s">
        <v>33</v>
      </c>
      <c r="E3" s="4" t="s">
        <v>92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48</v>
      </c>
      <c r="C4" s="3">
        <v>42730</v>
      </c>
      <c r="D4" s="1" t="s">
        <v>93</v>
      </c>
      <c r="E4" s="4" t="s">
        <v>94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48</v>
      </c>
      <c r="C5" s="3">
        <v>42816</v>
      </c>
      <c r="D5" s="2" t="s">
        <v>71</v>
      </c>
      <c r="E5" s="4" t="s">
        <v>95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58</v>
      </c>
      <c r="C6" s="3">
        <v>42652</v>
      </c>
      <c r="D6" s="1" t="s">
        <v>96</v>
      </c>
      <c r="E6" s="4" t="s">
        <v>97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58</v>
      </c>
      <c r="C7" s="3">
        <v>43605</v>
      </c>
      <c r="D7" s="2" t="s">
        <v>56</v>
      </c>
      <c r="E7" s="4" t="s">
        <v>94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60</v>
      </c>
      <c r="C8" s="3">
        <v>43773</v>
      </c>
      <c r="D8" s="1" t="s">
        <v>98</v>
      </c>
      <c r="E8" s="4" t="s">
        <v>99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60</v>
      </c>
      <c r="C9" s="3">
        <v>44086</v>
      </c>
      <c r="D9" s="2" t="s">
        <v>100</v>
      </c>
      <c r="E9" s="4" t="s">
        <v>101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66</v>
      </c>
      <c r="C10" s="3">
        <v>42442</v>
      </c>
      <c r="D10" s="1" t="s">
        <v>102</v>
      </c>
      <c r="E10" s="4" t="s">
        <v>95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66</v>
      </c>
      <c r="C11" s="3">
        <v>43399</v>
      </c>
      <c r="D11" s="2" t="s">
        <v>47</v>
      </c>
      <c r="E11" s="4" t="s">
        <v>92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19</v>
      </c>
      <c r="C12" s="3">
        <v>43211</v>
      </c>
      <c r="D12" s="1" t="s">
        <v>103</v>
      </c>
      <c r="E12" s="4" t="s">
        <v>101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44</v>
      </c>
      <c r="C13" s="3">
        <v>42770</v>
      </c>
      <c r="D13" s="2" t="s">
        <v>104</v>
      </c>
      <c r="E13" s="4" t="s">
        <v>101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44</v>
      </c>
      <c r="C14" s="3">
        <v>43742</v>
      </c>
      <c r="D14" s="1" t="s">
        <v>105</v>
      </c>
      <c r="E14" s="4" t="s">
        <v>101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76</v>
      </c>
      <c r="C15" s="3">
        <v>43321</v>
      </c>
      <c r="D15" s="2" t="s">
        <v>20</v>
      </c>
      <c r="E15" s="4" t="s">
        <v>95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40</v>
      </c>
      <c r="C16" s="3">
        <v>43385</v>
      </c>
      <c r="D16" s="1" t="s">
        <v>106</v>
      </c>
      <c r="E16" s="4" t="s">
        <v>107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40</v>
      </c>
      <c r="C17" s="3">
        <v>43573</v>
      </c>
      <c r="D17" s="1" t="s">
        <v>108</v>
      </c>
      <c r="E17" s="4" t="s">
        <v>109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55</v>
      </c>
      <c r="C18" s="3">
        <v>43263</v>
      </c>
      <c r="D18" s="1" t="s">
        <v>110</v>
      </c>
      <c r="E18" s="4" t="s">
        <v>107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55</v>
      </c>
      <c r="C19" s="3">
        <v>43592</v>
      </c>
      <c r="D19" s="2" t="s">
        <v>69</v>
      </c>
      <c r="E19" s="4" t="s">
        <v>107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70</v>
      </c>
      <c r="C20" s="3">
        <v>44440</v>
      </c>
      <c r="D20" s="2" t="s">
        <v>49</v>
      </c>
      <c r="E20" s="4" t="s">
        <v>107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22</v>
      </c>
      <c r="C21" s="3">
        <v>43964</v>
      </c>
      <c r="D21" s="2" t="s">
        <v>65</v>
      </c>
      <c r="E21" s="4" t="s">
        <v>92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10</v>
      </c>
      <c r="C22" s="3">
        <v>44473</v>
      </c>
      <c r="D22" s="2" t="s">
        <v>36</v>
      </c>
      <c r="E22" s="4" t="s">
        <v>92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42</v>
      </c>
      <c r="C23" s="3">
        <v>42785</v>
      </c>
      <c r="D23" s="2" t="s">
        <v>111</v>
      </c>
      <c r="E23" s="4" t="s">
        <v>112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42</v>
      </c>
      <c r="C24" s="3">
        <v>43229</v>
      </c>
      <c r="D24" s="1" t="s">
        <v>113</v>
      </c>
      <c r="E24" s="4" t="s">
        <v>94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17</v>
      </c>
      <c r="C25" s="3">
        <v>43378</v>
      </c>
      <c r="D25" s="2" t="s">
        <v>63</v>
      </c>
      <c r="E25" s="4" t="s">
        <v>97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53</v>
      </c>
      <c r="C26" s="3">
        <v>42107</v>
      </c>
      <c r="D26" s="1" t="s">
        <v>114</v>
      </c>
      <c r="E26" s="4" t="s">
        <v>95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53</v>
      </c>
      <c r="C27" s="3">
        <v>43523</v>
      </c>
      <c r="D27" s="2" t="s">
        <v>115</v>
      </c>
      <c r="E27" s="4" t="s">
        <v>97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30</v>
      </c>
      <c r="C28" s="3">
        <v>42395</v>
      </c>
      <c r="D28" s="1" t="s">
        <v>116</v>
      </c>
      <c r="E28" s="4" t="s">
        <v>112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30</v>
      </c>
      <c r="C29" s="3">
        <v>43760</v>
      </c>
      <c r="D29" s="2" t="s">
        <v>61</v>
      </c>
      <c r="E29" s="4" t="s">
        <v>101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51</v>
      </c>
      <c r="C30" s="3">
        <v>43274</v>
      </c>
      <c r="D30" s="2" t="s">
        <v>117</v>
      </c>
      <c r="E30" s="4" t="s">
        <v>92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51</v>
      </c>
      <c r="C31" s="3">
        <v>43525</v>
      </c>
      <c r="D31" s="1" t="s">
        <v>118</v>
      </c>
      <c r="E31" s="4" t="s">
        <v>92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74</v>
      </c>
      <c r="C32" s="3">
        <v>43567</v>
      </c>
      <c r="D32" s="2" t="s">
        <v>31</v>
      </c>
      <c r="E32" s="4" t="s">
        <v>99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35</v>
      </c>
      <c r="C33" s="3">
        <v>43252</v>
      </c>
      <c r="D33" s="1" t="s">
        <v>119</v>
      </c>
      <c r="E33" s="4" t="s">
        <v>92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35</v>
      </c>
      <c r="C34" s="3">
        <v>43986</v>
      </c>
      <c r="D34" s="2" t="s">
        <v>67</v>
      </c>
      <c r="E34" s="4" t="s">
        <v>101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37</v>
      </c>
      <c r="C35" s="3">
        <v>42473</v>
      </c>
      <c r="D35" s="1" t="s">
        <v>120</v>
      </c>
      <c r="E35" s="4" t="s">
        <v>97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37</v>
      </c>
      <c r="C36" s="3">
        <v>43257</v>
      </c>
      <c r="D36" s="2" t="s">
        <v>77</v>
      </c>
      <c r="E36" s="4" t="s">
        <v>92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78</v>
      </c>
      <c r="C37" s="3">
        <v>43955</v>
      </c>
      <c r="D37" s="2" t="s">
        <v>73</v>
      </c>
      <c r="E37" s="4" t="s">
        <v>99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72</v>
      </c>
      <c r="C38" s="3">
        <v>43325</v>
      </c>
      <c r="D38" s="2" t="s">
        <v>45</v>
      </c>
      <c r="E38" s="4" t="s">
        <v>97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46</v>
      </c>
      <c r="C39" s="3">
        <v>42577</v>
      </c>
      <c r="D39" s="1" t="s">
        <v>121</v>
      </c>
      <c r="E39" s="4" t="s">
        <v>95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46</v>
      </c>
      <c r="C40" s="3">
        <v>44357</v>
      </c>
      <c r="D40" s="2" t="s">
        <v>18</v>
      </c>
      <c r="E40" s="4" t="s">
        <v>112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14</v>
      </c>
      <c r="C41" s="3">
        <v>43274</v>
      </c>
      <c r="D41" s="1" t="s">
        <v>122</v>
      </c>
      <c r="E41" s="4" t="s">
        <v>99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64</v>
      </c>
      <c r="C42" s="3">
        <v>43831</v>
      </c>
      <c r="D42" s="1" t="s">
        <v>123</v>
      </c>
      <c r="E42" s="4" t="s">
        <v>101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64</v>
      </c>
      <c r="C43" s="3">
        <v>44481</v>
      </c>
      <c r="D43" s="2" t="s">
        <v>75</v>
      </c>
      <c r="E43" s="4" t="s">
        <v>94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68</v>
      </c>
      <c r="C44" s="3">
        <v>43020</v>
      </c>
      <c r="D44" s="1" t="s">
        <v>124</v>
      </c>
      <c r="E44" s="4" t="s">
        <v>101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68</v>
      </c>
      <c r="C45" s="3">
        <v>43977</v>
      </c>
      <c r="D45" s="2" t="s">
        <v>29</v>
      </c>
      <c r="E45" s="4" t="s">
        <v>95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28</v>
      </c>
      <c r="C46" s="3">
        <v>43332</v>
      </c>
      <c r="D46" s="2" t="s">
        <v>26</v>
      </c>
      <c r="E46" s="4" t="s">
        <v>109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62</v>
      </c>
      <c r="C47" s="3">
        <v>42577</v>
      </c>
      <c r="D47" s="1" t="s">
        <v>125</v>
      </c>
      <c r="E47" s="4" t="s">
        <v>109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62</v>
      </c>
      <c r="C48" s="3">
        <v>43217</v>
      </c>
      <c r="D48" s="2" t="s">
        <v>126</v>
      </c>
      <c r="E48" s="4" t="s">
        <v>95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32</v>
      </c>
      <c r="C49" s="3">
        <v>43338</v>
      </c>
      <c r="D49" s="1" t="s">
        <v>127</v>
      </c>
      <c r="E49" s="4" t="s">
        <v>95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32</v>
      </c>
      <c r="C50" s="3">
        <v>44383</v>
      </c>
      <c r="D50" s="2" t="s">
        <v>52</v>
      </c>
      <c r="E50" s="4" t="s">
        <v>95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2" r:id="rId1"/>
  <headerFooter>
    <oddFooter>&amp;C&amp;P쪽</oddFooter>
  </headerFooter>
  <rowBreaks count="2" manualBreakCount="2">
    <brk id="15" min="1" max="10" man="1"/>
    <brk id="35" min="1" max="10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I32"/>
  <sheetViews>
    <sheetView workbookViewId="0">
      <selection activeCell="E34" sqref="E34"/>
    </sheetView>
  </sheetViews>
  <sheetFormatPr defaultRowHeight="16.5" x14ac:dyDescent="0.3"/>
  <cols>
    <col min="2" max="2" width="13" bestFit="1" customWidth="1"/>
    <col min="3" max="4" width="9" customWidth="1"/>
    <col min="5" max="5" width="12.375" customWidth="1"/>
    <col min="6" max="6" width="12.25" customWidth="1"/>
    <col min="7" max="7" width="12" customWidth="1"/>
    <col min="8" max="8" width="11" bestFit="1" customWidth="1"/>
  </cols>
  <sheetData>
    <row r="1" spans="1:9" x14ac:dyDescent="0.3">
      <c r="A1" t="s">
        <v>259</v>
      </c>
    </row>
    <row r="2" spans="1:9" x14ac:dyDescent="0.3">
      <c r="A2" s="1" t="s">
        <v>260</v>
      </c>
      <c r="B2" s="1" t="s">
        <v>261</v>
      </c>
      <c r="C2" s="1" t="s">
        <v>262</v>
      </c>
      <c r="D2" s="1" t="s">
        <v>263</v>
      </c>
      <c r="E2" s="1" t="s">
        <v>264</v>
      </c>
      <c r="F2" s="1" t="s">
        <v>265</v>
      </c>
      <c r="G2" s="24" t="s">
        <v>266</v>
      </c>
      <c r="H2" s="24" t="s">
        <v>267</v>
      </c>
      <c r="I2" s="24" t="s">
        <v>268</v>
      </c>
    </row>
    <row r="3" spans="1:9" x14ac:dyDescent="0.3">
      <c r="A3" s="1" t="s">
        <v>270</v>
      </c>
      <c r="B3" s="1" t="s">
        <v>272</v>
      </c>
      <c r="C3" s="4">
        <v>0.48799999999999999</v>
      </c>
      <c r="D3" s="6">
        <v>3700</v>
      </c>
      <c r="E3" s="19">
        <v>44144</v>
      </c>
      <c r="F3" s="19">
        <v>45605</v>
      </c>
      <c r="G3" s="1" t="str">
        <f>TEXT(QUOTIENT(_xlfn.DAYS(F3,E3),30)*(D3/12),"#,##0천원")</f>
        <v>14,800천원</v>
      </c>
      <c r="H3" s="6">
        <f>TRUNC(D3*(1-IF(B3="투수",VLOOKUP(C3,$F$29:$G$32,2),VLOOKUP(C3,$H$29:$I$32,2))),-3)</f>
        <v>1000</v>
      </c>
      <c r="I3" s="6">
        <f>fn연소득(C3,D3)</f>
        <v>4700</v>
      </c>
    </row>
    <row r="4" spans="1:9" x14ac:dyDescent="0.3">
      <c r="A4" s="1" t="s">
        <v>274</v>
      </c>
      <c r="B4" s="1" t="s">
        <v>276</v>
      </c>
      <c r="C4" s="4">
        <v>0.23499999999999999</v>
      </c>
      <c r="D4" s="6">
        <v>5500</v>
      </c>
      <c r="E4" s="19">
        <v>42270</v>
      </c>
      <c r="F4" s="19">
        <v>43731</v>
      </c>
      <c r="G4" s="1" t="str">
        <f t="shared" ref="G4:G24" si="0">TEXT(QUOTIENT(_xlfn.DAYS(F4,E4),30)*(D4/12),"#,##0천원")</f>
        <v>22,000천원</v>
      </c>
      <c r="H4" s="6">
        <f t="shared" ref="H4:H24" si="1">TRUNC(D4*(1-IF(B4="투수",VLOOKUP(C4,$F$29:$G$32,2),VLOOKUP(C4,$H$29:$I$32,2))),-3)</f>
        <v>3000</v>
      </c>
      <c r="I4" s="6">
        <f t="shared" ref="I4:I24" si="2">fn연소득(C4,D4)</f>
        <v>6000</v>
      </c>
    </row>
    <row r="5" spans="1:9" x14ac:dyDescent="0.3">
      <c r="A5" s="1" t="s">
        <v>277</v>
      </c>
      <c r="B5" s="1" t="s">
        <v>278</v>
      </c>
      <c r="C5" s="4">
        <v>0.35599999999999998</v>
      </c>
      <c r="D5" s="6">
        <v>14500</v>
      </c>
      <c r="E5" s="19">
        <v>42477</v>
      </c>
      <c r="F5" s="19">
        <v>43938</v>
      </c>
      <c r="G5" s="1" t="str">
        <f t="shared" si="0"/>
        <v>58,000천원</v>
      </c>
      <c r="H5" s="6">
        <f t="shared" si="1"/>
        <v>10000</v>
      </c>
      <c r="I5" s="6">
        <f t="shared" si="2"/>
        <v>15000</v>
      </c>
    </row>
    <row r="6" spans="1:9" x14ac:dyDescent="0.3">
      <c r="A6" s="1" t="s">
        <v>279</v>
      </c>
      <c r="B6" s="1" t="s">
        <v>272</v>
      </c>
      <c r="C6" s="4">
        <v>0.42899999999999999</v>
      </c>
      <c r="D6" s="6">
        <v>9400</v>
      </c>
      <c r="E6" s="19">
        <v>43115</v>
      </c>
      <c r="F6" s="19">
        <v>44576</v>
      </c>
      <c r="G6" s="1" t="str">
        <f t="shared" si="0"/>
        <v>37,600천원</v>
      </c>
      <c r="H6" s="6">
        <f t="shared" si="1"/>
        <v>4000</v>
      </c>
      <c r="I6" s="6">
        <f t="shared" si="2"/>
        <v>10400</v>
      </c>
    </row>
    <row r="7" spans="1:9" x14ac:dyDescent="0.3">
      <c r="A7" s="1" t="s">
        <v>277</v>
      </c>
      <c r="B7" s="1" t="s">
        <v>272</v>
      </c>
      <c r="C7" s="4">
        <v>0.33400000000000002</v>
      </c>
      <c r="D7" s="6">
        <v>4200</v>
      </c>
      <c r="E7" s="19">
        <v>42097</v>
      </c>
      <c r="F7" s="19">
        <v>43558</v>
      </c>
      <c r="G7" s="1" t="str">
        <f t="shared" si="0"/>
        <v>16,800천원</v>
      </c>
      <c r="H7" s="6">
        <f t="shared" si="1"/>
        <v>2000</v>
      </c>
      <c r="I7" s="6">
        <f t="shared" si="2"/>
        <v>4700</v>
      </c>
    </row>
    <row r="8" spans="1:9" x14ac:dyDescent="0.3">
      <c r="A8" s="1" t="s">
        <v>279</v>
      </c>
      <c r="B8" s="1" t="s">
        <v>276</v>
      </c>
      <c r="C8" s="4">
        <v>0.19500000000000001</v>
      </c>
      <c r="D8" s="6">
        <v>14000</v>
      </c>
      <c r="E8" s="19">
        <v>44082</v>
      </c>
      <c r="F8" s="19">
        <v>45543</v>
      </c>
      <c r="G8" s="1" t="str">
        <f t="shared" si="0"/>
        <v>56,000천원</v>
      </c>
      <c r="H8" s="6">
        <f t="shared" si="1"/>
        <v>7000</v>
      </c>
      <c r="I8" s="6">
        <f t="shared" si="2"/>
        <v>14000</v>
      </c>
    </row>
    <row r="9" spans="1:9" x14ac:dyDescent="0.3">
      <c r="A9" s="1" t="s">
        <v>277</v>
      </c>
      <c r="B9" s="1" t="s">
        <v>276</v>
      </c>
      <c r="C9" s="4">
        <v>0.223</v>
      </c>
      <c r="D9" s="6">
        <v>13100</v>
      </c>
      <c r="E9" s="19">
        <v>43754</v>
      </c>
      <c r="F9" s="19">
        <v>45215</v>
      </c>
      <c r="G9" s="1" t="str">
        <f t="shared" si="0"/>
        <v>52,400천원</v>
      </c>
      <c r="H9" s="6">
        <f t="shared" si="1"/>
        <v>9000</v>
      </c>
      <c r="I9" s="6">
        <f t="shared" si="2"/>
        <v>13600</v>
      </c>
    </row>
    <row r="10" spans="1:9" x14ac:dyDescent="0.3">
      <c r="A10" s="1" t="s">
        <v>279</v>
      </c>
      <c r="B10" s="1" t="s">
        <v>272</v>
      </c>
      <c r="C10" s="4">
        <v>0.3</v>
      </c>
      <c r="D10" s="6">
        <v>8600</v>
      </c>
      <c r="E10" s="19">
        <v>42746</v>
      </c>
      <c r="F10" s="19">
        <v>44207</v>
      </c>
      <c r="G10" s="1" t="str">
        <f t="shared" si="0"/>
        <v>34,400천원</v>
      </c>
      <c r="H10" s="6">
        <f t="shared" si="1"/>
        <v>6000</v>
      </c>
      <c r="I10" s="6">
        <f t="shared" si="2"/>
        <v>9100</v>
      </c>
    </row>
    <row r="11" spans="1:9" x14ac:dyDescent="0.3">
      <c r="A11" s="1" t="s">
        <v>279</v>
      </c>
      <c r="B11" s="1" t="s">
        <v>272</v>
      </c>
      <c r="C11" s="4">
        <v>0.11799999999999999</v>
      </c>
      <c r="D11" s="6">
        <v>13900</v>
      </c>
      <c r="E11" s="19">
        <v>44123</v>
      </c>
      <c r="F11" s="19">
        <v>45584</v>
      </c>
      <c r="G11" s="1" t="str">
        <f t="shared" si="0"/>
        <v>55,600천원</v>
      </c>
      <c r="H11" s="6">
        <f t="shared" si="1"/>
        <v>13000</v>
      </c>
      <c r="I11" s="6">
        <f t="shared" si="2"/>
        <v>13900</v>
      </c>
    </row>
    <row r="12" spans="1:9" x14ac:dyDescent="0.3">
      <c r="A12" s="1" t="s">
        <v>280</v>
      </c>
      <c r="B12" s="1" t="s">
        <v>281</v>
      </c>
      <c r="C12" s="4">
        <v>0.27600000000000002</v>
      </c>
      <c r="D12" s="6">
        <v>8200</v>
      </c>
      <c r="E12" s="19">
        <v>43296</v>
      </c>
      <c r="F12" s="19">
        <v>44757</v>
      </c>
      <c r="G12" s="1" t="str">
        <f t="shared" si="0"/>
        <v>32,800천원</v>
      </c>
      <c r="H12" s="6">
        <f t="shared" si="1"/>
        <v>8000</v>
      </c>
      <c r="I12" s="6">
        <f t="shared" si="2"/>
        <v>8700</v>
      </c>
    </row>
    <row r="13" spans="1:9" x14ac:dyDescent="0.3">
      <c r="A13" s="1" t="s">
        <v>279</v>
      </c>
      <c r="B13" s="1" t="s">
        <v>276</v>
      </c>
      <c r="C13" s="4">
        <v>0.107</v>
      </c>
      <c r="D13" s="6">
        <v>10500</v>
      </c>
      <c r="E13" s="19">
        <v>42100</v>
      </c>
      <c r="F13" s="19">
        <v>43561</v>
      </c>
      <c r="G13" s="1" t="str">
        <f t="shared" si="0"/>
        <v>42,000천원</v>
      </c>
      <c r="H13" s="6">
        <f t="shared" si="1"/>
        <v>5000</v>
      </c>
      <c r="I13" s="6">
        <f t="shared" si="2"/>
        <v>10500</v>
      </c>
    </row>
    <row r="14" spans="1:9" x14ac:dyDescent="0.3">
      <c r="A14" s="1" t="s">
        <v>273</v>
      </c>
      <c r="B14" s="1" t="s">
        <v>276</v>
      </c>
      <c r="C14" s="4">
        <v>0.19</v>
      </c>
      <c r="D14" s="6">
        <v>14100</v>
      </c>
      <c r="E14" s="19">
        <v>42212</v>
      </c>
      <c r="F14" s="19">
        <v>43673</v>
      </c>
      <c r="G14" s="1" t="str">
        <f t="shared" si="0"/>
        <v>56,400천원</v>
      </c>
      <c r="H14" s="6">
        <f t="shared" si="1"/>
        <v>7000</v>
      </c>
      <c r="I14" s="6">
        <f t="shared" si="2"/>
        <v>14100</v>
      </c>
    </row>
    <row r="15" spans="1:9" x14ac:dyDescent="0.3">
      <c r="A15" s="1" t="s">
        <v>280</v>
      </c>
      <c r="B15" s="1" t="s">
        <v>281</v>
      </c>
      <c r="C15" s="4">
        <v>0.47</v>
      </c>
      <c r="D15" s="6">
        <v>10100</v>
      </c>
      <c r="E15" s="19">
        <v>43471</v>
      </c>
      <c r="F15" s="19">
        <v>44932</v>
      </c>
      <c r="G15" s="1" t="str">
        <f t="shared" si="0"/>
        <v>40,400천원</v>
      </c>
      <c r="H15" s="6">
        <f t="shared" si="1"/>
        <v>5000</v>
      </c>
      <c r="I15" s="6">
        <f t="shared" si="2"/>
        <v>11100</v>
      </c>
    </row>
    <row r="16" spans="1:9" x14ac:dyDescent="0.3">
      <c r="A16" s="1" t="s">
        <v>274</v>
      </c>
      <c r="B16" s="1" t="s">
        <v>278</v>
      </c>
      <c r="C16" s="4">
        <v>0.20799999999999999</v>
      </c>
      <c r="D16" s="6">
        <v>8800</v>
      </c>
      <c r="E16" s="19">
        <v>43263</v>
      </c>
      <c r="F16" s="19">
        <v>44724</v>
      </c>
      <c r="G16" s="1" t="str">
        <f t="shared" si="0"/>
        <v>35,200천원</v>
      </c>
      <c r="H16" s="6">
        <f t="shared" si="1"/>
        <v>8000</v>
      </c>
      <c r="I16" s="6">
        <f t="shared" si="2"/>
        <v>9300</v>
      </c>
    </row>
    <row r="17" spans="1:9" x14ac:dyDescent="0.3">
      <c r="A17" s="1" t="s">
        <v>277</v>
      </c>
      <c r="B17" s="1" t="s">
        <v>281</v>
      </c>
      <c r="C17" s="4">
        <v>0.40600000000000003</v>
      </c>
      <c r="D17" s="6">
        <v>6300</v>
      </c>
      <c r="E17" s="19">
        <v>43610</v>
      </c>
      <c r="F17" s="19">
        <v>45071</v>
      </c>
      <c r="G17" s="1" t="str">
        <f t="shared" si="0"/>
        <v>25,200천원</v>
      </c>
      <c r="H17" s="6">
        <f t="shared" si="1"/>
        <v>3000</v>
      </c>
      <c r="I17" s="6">
        <f t="shared" si="2"/>
        <v>7300</v>
      </c>
    </row>
    <row r="18" spans="1:9" x14ac:dyDescent="0.3">
      <c r="A18" s="1" t="s">
        <v>269</v>
      </c>
      <c r="B18" s="1" t="s">
        <v>281</v>
      </c>
      <c r="C18" s="4">
        <v>0.255</v>
      </c>
      <c r="D18" s="6">
        <v>4900</v>
      </c>
      <c r="E18" s="19">
        <v>43051</v>
      </c>
      <c r="F18" s="19">
        <v>44512</v>
      </c>
      <c r="G18" s="1" t="str">
        <f t="shared" si="0"/>
        <v>19,600천원</v>
      </c>
      <c r="H18" s="6">
        <f t="shared" si="1"/>
        <v>4000</v>
      </c>
      <c r="I18" s="6">
        <f t="shared" si="2"/>
        <v>5400</v>
      </c>
    </row>
    <row r="19" spans="1:9" x14ac:dyDescent="0.3">
      <c r="A19" s="1" t="s">
        <v>280</v>
      </c>
      <c r="B19" s="1" t="s">
        <v>272</v>
      </c>
      <c r="C19" s="4">
        <v>0.39</v>
      </c>
      <c r="D19" s="6">
        <v>6400</v>
      </c>
      <c r="E19" s="19">
        <v>42462</v>
      </c>
      <c r="F19" s="19">
        <v>43923</v>
      </c>
      <c r="G19" s="1" t="str">
        <f t="shared" si="0"/>
        <v>25,600천원</v>
      </c>
      <c r="H19" s="6">
        <f t="shared" si="1"/>
        <v>4000</v>
      </c>
      <c r="I19" s="6">
        <f t="shared" si="2"/>
        <v>6900</v>
      </c>
    </row>
    <row r="20" spans="1:9" x14ac:dyDescent="0.3">
      <c r="A20" s="1" t="s">
        <v>277</v>
      </c>
      <c r="B20" s="1" t="s">
        <v>281</v>
      </c>
      <c r="C20" s="4">
        <v>0.39300000000000002</v>
      </c>
      <c r="D20" s="6">
        <v>5400</v>
      </c>
      <c r="E20" s="19">
        <v>42232</v>
      </c>
      <c r="F20" s="19">
        <v>43693</v>
      </c>
      <c r="G20" s="1" t="str">
        <f t="shared" si="0"/>
        <v>21,600천원</v>
      </c>
      <c r="H20" s="6">
        <f t="shared" si="1"/>
        <v>3000</v>
      </c>
      <c r="I20" s="6">
        <f t="shared" si="2"/>
        <v>5900</v>
      </c>
    </row>
    <row r="21" spans="1:9" x14ac:dyDescent="0.3">
      <c r="A21" s="1" t="s">
        <v>274</v>
      </c>
      <c r="B21" s="1" t="s">
        <v>278</v>
      </c>
      <c r="C21" s="4">
        <v>0.16600000000000001</v>
      </c>
      <c r="D21" s="6">
        <v>7600</v>
      </c>
      <c r="E21" s="19">
        <v>43108</v>
      </c>
      <c r="F21" s="19">
        <v>44569</v>
      </c>
      <c r="G21" s="1" t="str">
        <f t="shared" si="0"/>
        <v>30,400천원</v>
      </c>
      <c r="H21" s="6">
        <f t="shared" si="1"/>
        <v>7000</v>
      </c>
      <c r="I21" s="6">
        <f t="shared" si="2"/>
        <v>7600</v>
      </c>
    </row>
    <row r="22" spans="1:9" x14ac:dyDescent="0.3">
      <c r="A22" s="1" t="s">
        <v>277</v>
      </c>
      <c r="B22" s="1" t="s">
        <v>272</v>
      </c>
      <c r="C22" s="4">
        <v>0.55800000000000005</v>
      </c>
      <c r="D22" s="6">
        <v>5800</v>
      </c>
      <c r="E22" s="19">
        <v>43452</v>
      </c>
      <c r="F22" s="19">
        <v>44913</v>
      </c>
      <c r="G22" s="1" t="str">
        <f t="shared" si="0"/>
        <v>23,200천원</v>
      </c>
      <c r="H22" s="6">
        <f t="shared" si="1"/>
        <v>0</v>
      </c>
      <c r="I22" s="6">
        <f t="shared" si="2"/>
        <v>6800</v>
      </c>
    </row>
    <row r="23" spans="1:9" x14ac:dyDescent="0.3">
      <c r="A23" s="1" t="s">
        <v>270</v>
      </c>
      <c r="B23" s="1" t="s">
        <v>278</v>
      </c>
      <c r="C23" s="4">
        <v>0.251</v>
      </c>
      <c r="D23" s="6">
        <v>8500</v>
      </c>
      <c r="E23" s="19">
        <v>42533</v>
      </c>
      <c r="F23" s="19">
        <v>43994</v>
      </c>
      <c r="G23" s="1" t="str">
        <f t="shared" si="0"/>
        <v>34,000천원</v>
      </c>
      <c r="H23" s="6">
        <f t="shared" si="1"/>
        <v>8000</v>
      </c>
      <c r="I23" s="6">
        <f t="shared" si="2"/>
        <v>9000</v>
      </c>
    </row>
    <row r="24" spans="1:9" x14ac:dyDescent="0.3">
      <c r="A24" s="1" t="s">
        <v>280</v>
      </c>
      <c r="B24" s="1" t="s">
        <v>271</v>
      </c>
      <c r="C24" s="4">
        <v>0.27700000000000002</v>
      </c>
      <c r="D24" s="6">
        <v>12600</v>
      </c>
      <c r="E24" s="19">
        <v>42481</v>
      </c>
      <c r="F24" s="19">
        <v>43942</v>
      </c>
      <c r="G24" s="1" t="str">
        <f t="shared" si="0"/>
        <v>50,400천원</v>
      </c>
      <c r="H24" s="6">
        <f t="shared" si="1"/>
        <v>12000</v>
      </c>
      <c r="I24" s="6">
        <f t="shared" si="2"/>
        <v>13100</v>
      </c>
    </row>
    <row r="26" spans="1:9" x14ac:dyDescent="0.3">
      <c r="A26" t="s">
        <v>282</v>
      </c>
      <c r="C26" t="s">
        <v>283</v>
      </c>
      <c r="F26" t="s">
        <v>284</v>
      </c>
    </row>
    <row r="27" spans="1:9" x14ac:dyDescent="0.3">
      <c r="A27" s="1" t="s">
        <v>285</v>
      </c>
      <c r="B27" s="24" t="s">
        <v>286</v>
      </c>
      <c r="C27" s="1" t="s">
        <v>285</v>
      </c>
      <c r="D27" s="24" t="s">
        <v>262</v>
      </c>
      <c r="E27" s="24" t="s">
        <v>263</v>
      </c>
      <c r="F27" s="27" t="s">
        <v>276</v>
      </c>
      <c r="G27" s="27"/>
      <c r="H27" s="27" t="s">
        <v>287</v>
      </c>
      <c r="I27" s="27"/>
    </row>
    <row r="28" spans="1:9" x14ac:dyDescent="0.3">
      <c r="A28" s="1" t="s">
        <v>272</v>
      </c>
      <c r="B28" s="6">
        <f t="array" ref="B28">AVERAGE(IF(($B$3:$B$24=A28)*(LEFT($A$3:$A$24,2)&lt;&gt;"서울"),$D$3:$D$24))</f>
        <v>7250</v>
      </c>
      <c r="C28" s="1" t="s">
        <v>272</v>
      </c>
      <c r="D28" s="4">
        <f t="array" ref="D28">INDEX(C$3:C$24,MATCH(MAX(($B$3:$B$24=$C28)*C$3:C$24),($B$3:$B$24=$C28)*C$3:C$24,0))</f>
        <v>0.55800000000000005</v>
      </c>
      <c r="E28" s="4">
        <f t="array" ref="E28">INDEX(D$3:D$24,MATCH(MAX(($B$3:$B$24=$C28)*D$3:D$24),($B$3:$B$24=$C28)*D$3:D$24,0))</f>
        <v>13900</v>
      </c>
      <c r="F28" s="23" t="s">
        <v>288</v>
      </c>
      <c r="G28" s="23" t="s">
        <v>289</v>
      </c>
      <c r="H28" s="23" t="s">
        <v>290</v>
      </c>
      <c r="I28" s="23" t="s">
        <v>289</v>
      </c>
    </row>
    <row r="29" spans="1:9" x14ac:dyDescent="0.3">
      <c r="A29" s="1" t="s">
        <v>276</v>
      </c>
      <c r="B29" s="6">
        <f t="array" ref="B29">AVERAGE(IF(($B$3:$B$24=A29)*(LEFT($A$3:$A$24,2)&lt;&gt;"서울"),$D$3:$D$24))</f>
        <v>10900</v>
      </c>
      <c r="C29" s="1" t="s">
        <v>275</v>
      </c>
      <c r="D29" s="4">
        <f t="array" ref="D29">INDEX(C$3:C$24,MATCH(MAX(($B$3:$B$24=$C29)*C$3:C$24),($B$3:$B$24=$C29)*C$3:C$24,0))</f>
        <v>0.23499999999999999</v>
      </c>
      <c r="E29" s="4">
        <f t="array" ref="E29">INDEX(D$3:D$24,MATCH(MAX(($B$3:$B$24=$C29)*D$3:D$24),($B$3:$B$24=$C29)*D$3:D$24,0))</f>
        <v>14100</v>
      </c>
      <c r="F29" s="25">
        <v>0</v>
      </c>
      <c r="G29" s="26">
        <v>1</v>
      </c>
      <c r="H29" s="25">
        <v>0</v>
      </c>
      <c r="I29" s="26">
        <v>0</v>
      </c>
    </row>
    <row r="30" spans="1:9" x14ac:dyDescent="0.3">
      <c r="A30" s="1" t="s">
        <v>278</v>
      </c>
      <c r="B30" s="6">
        <f t="array" ref="B30">AVERAGE(IF(($B$3:$B$24=A30)*(LEFT($A$3:$A$24,2)&lt;&gt;"서울"),$D$3:$D$24))</f>
        <v>10300</v>
      </c>
      <c r="C30" s="1" t="s">
        <v>278</v>
      </c>
      <c r="D30" s="4">
        <f t="array" ref="D30">INDEX(C$3:C$24,MATCH(MAX(($B$3:$B$24=$C30)*C$3:C$24),($B$3:$B$24=$C30)*C$3:C$24,0))</f>
        <v>0.35599999999999998</v>
      </c>
      <c r="E30" s="4">
        <f t="array" ref="E30">INDEX(D$3:D$24,MATCH(MAX(($B$3:$B$24=$C30)*D$3:D$24),($B$3:$B$24=$C30)*D$3:D$24,0))</f>
        <v>14500</v>
      </c>
      <c r="F30" s="25">
        <v>0.1</v>
      </c>
      <c r="G30" s="26">
        <v>0.5</v>
      </c>
      <c r="H30" s="25">
        <v>0.3</v>
      </c>
      <c r="I30" s="26">
        <v>0.3</v>
      </c>
    </row>
    <row r="31" spans="1:9" x14ac:dyDescent="0.3">
      <c r="A31" s="1" t="s">
        <v>281</v>
      </c>
      <c r="B31" s="6">
        <f t="array" ref="B31">AVERAGE(IF(($B$3:$B$24=A31)*(LEFT($A$3:$A$24,2)&lt;&gt;"서울"),$D$3:$D$24))</f>
        <v>7500</v>
      </c>
      <c r="C31" s="1" t="s">
        <v>281</v>
      </c>
      <c r="D31" s="4">
        <f t="array" ref="D31">INDEX(C$3:C$24,MATCH(MAX(($B$3:$B$24=$C31)*C$3:C$24),($B$3:$B$24=$C31)*C$3:C$24,0))</f>
        <v>0.47</v>
      </c>
      <c r="E31" s="4">
        <f t="array" ref="E31">INDEX(D$3:D$24,MATCH(MAX(($B$3:$B$24=$C31)*D$3:D$24),($B$3:$B$24=$C31)*D$3:D$24,0))</f>
        <v>10100</v>
      </c>
      <c r="F31" s="25">
        <v>0.2</v>
      </c>
      <c r="G31" s="26">
        <v>0.3</v>
      </c>
      <c r="H31" s="25">
        <v>0.4</v>
      </c>
      <c r="I31" s="26">
        <v>0.5</v>
      </c>
    </row>
    <row r="32" spans="1:9" x14ac:dyDescent="0.3">
      <c r="F32" s="25">
        <v>0.3</v>
      </c>
      <c r="G32" s="26">
        <v>0</v>
      </c>
      <c r="H32" s="25">
        <v>0.5</v>
      </c>
      <c r="I32" s="26">
        <v>1</v>
      </c>
    </row>
  </sheetData>
  <mergeCells count="2">
    <mergeCell ref="F27:G27"/>
    <mergeCell ref="H27:I2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10"/>
  <sheetViews>
    <sheetView workbookViewId="0"/>
  </sheetViews>
  <sheetFormatPr defaultRowHeight="16.5" x14ac:dyDescent="0.3"/>
  <cols>
    <col min="1" max="1" width="3.25" customWidth="1"/>
    <col min="2" max="2" width="7.5" customWidth="1"/>
    <col min="3" max="3" width="15.25" bestFit="1" customWidth="1"/>
    <col min="4" max="5" width="15.25" customWidth="1"/>
    <col min="6" max="6" width="15.25" bestFit="1" customWidth="1"/>
    <col min="7" max="7" width="18" bestFit="1" customWidth="1"/>
    <col min="8" max="8" width="20.125" bestFit="1" customWidth="1"/>
  </cols>
  <sheetData>
    <row r="2" spans="2:6" x14ac:dyDescent="0.3">
      <c r="C2" t="s">
        <v>293</v>
      </c>
      <c r="D2" t="s">
        <v>294</v>
      </c>
    </row>
    <row r="3" spans="2:6" x14ac:dyDescent="0.3">
      <c r="C3" t="s">
        <v>295</v>
      </c>
      <c r="E3" t="s">
        <v>296</v>
      </c>
    </row>
    <row r="4" spans="2:6" x14ac:dyDescent="0.3">
      <c r="B4" t="s">
        <v>297</v>
      </c>
      <c r="C4" t="s">
        <v>298</v>
      </c>
      <c r="D4" t="s">
        <v>299</v>
      </c>
      <c r="E4" t="s">
        <v>298</v>
      </c>
      <c r="F4" t="s">
        <v>299</v>
      </c>
    </row>
    <row r="5" spans="2:6" x14ac:dyDescent="0.3">
      <c r="B5" t="s">
        <v>300</v>
      </c>
      <c r="C5" s="20">
        <v>210490</v>
      </c>
      <c r="D5" s="21">
        <v>31</v>
      </c>
      <c r="E5" s="20">
        <v>122506.66666666667</v>
      </c>
      <c r="F5" s="21">
        <v>12</v>
      </c>
    </row>
    <row r="6" spans="2:6" x14ac:dyDescent="0.3">
      <c r="B6" t="s">
        <v>301</v>
      </c>
      <c r="C6" s="20">
        <v>323010</v>
      </c>
      <c r="D6" s="21">
        <v>28</v>
      </c>
      <c r="E6" s="20">
        <v>0</v>
      </c>
      <c r="F6" s="21">
        <v>33</v>
      </c>
    </row>
    <row r="7" spans="2:6" x14ac:dyDescent="0.3">
      <c r="B7" t="s">
        <v>302</v>
      </c>
      <c r="C7" s="20">
        <v>318000</v>
      </c>
      <c r="D7" s="21">
        <v>25</v>
      </c>
      <c r="E7" s="20">
        <v>208825</v>
      </c>
      <c r="F7" s="21">
        <v>11.833333333333334</v>
      </c>
    </row>
    <row r="8" spans="2:6" x14ac:dyDescent="0.3">
      <c r="B8" t="s">
        <v>303</v>
      </c>
      <c r="C8" s="20">
        <v>177496.66666666666</v>
      </c>
      <c r="D8" s="21">
        <v>14.333333333333334</v>
      </c>
      <c r="E8" s="20">
        <v>266315</v>
      </c>
      <c r="F8" s="21">
        <v>17.5</v>
      </c>
    </row>
    <row r="9" spans="2:6" x14ac:dyDescent="0.3">
      <c r="B9" t="s">
        <v>304</v>
      </c>
      <c r="C9" s="20">
        <v>279873.33333333331</v>
      </c>
      <c r="D9" s="21">
        <v>17.333333333333332</v>
      </c>
      <c r="E9" s="20">
        <v>283902</v>
      </c>
      <c r="F9" s="21">
        <v>21.8</v>
      </c>
    </row>
    <row r="10" spans="2:6" x14ac:dyDescent="0.3">
      <c r="B10" t="s">
        <v>305</v>
      </c>
      <c r="C10" s="20">
        <v>260420</v>
      </c>
      <c r="D10" s="21">
        <v>21.09090909090909</v>
      </c>
      <c r="E10" s="20">
        <v>205262</v>
      </c>
      <c r="F10" s="21">
        <v>17.600000000000001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B2:J28"/>
  <sheetViews>
    <sheetView workbookViewId="0"/>
  </sheetViews>
  <sheetFormatPr defaultRowHeight="16.5" x14ac:dyDescent="0.3"/>
  <cols>
    <col min="1" max="1" width="3.875" customWidth="1"/>
    <col min="6" max="6" width="11.25" bestFit="1" customWidth="1"/>
    <col min="7" max="7" width="12.625" customWidth="1"/>
    <col min="8" max="8" width="9.75" customWidth="1"/>
    <col min="10" max="10" width="10.25" customWidth="1"/>
  </cols>
  <sheetData>
    <row r="2" spans="2:10" x14ac:dyDescent="0.3">
      <c r="B2" s="18" t="s">
        <v>237</v>
      </c>
      <c r="C2" s="18" t="s">
        <v>238</v>
      </c>
      <c r="D2" s="18" t="s">
        <v>239</v>
      </c>
      <c r="E2" s="18" t="s">
        <v>240</v>
      </c>
      <c r="F2" s="18" t="s">
        <v>241</v>
      </c>
      <c r="G2" s="18" t="s">
        <v>242</v>
      </c>
      <c r="H2" s="18" t="s">
        <v>243</v>
      </c>
      <c r="I2" s="18" t="s">
        <v>244</v>
      </c>
      <c r="J2" s="18" t="s">
        <v>245</v>
      </c>
    </row>
    <row r="3" spans="2:10" hidden="1" x14ac:dyDescent="0.3">
      <c r="B3" s="1" t="s">
        <v>169</v>
      </c>
      <c r="C3" s="1" t="s">
        <v>246</v>
      </c>
      <c r="D3" s="1" t="s">
        <v>247</v>
      </c>
      <c r="E3" s="1">
        <v>53</v>
      </c>
      <c r="F3" s="1">
        <v>4</v>
      </c>
      <c r="G3" s="1" t="s">
        <v>248</v>
      </c>
      <c r="H3" s="1" t="s">
        <v>249</v>
      </c>
      <c r="I3" s="1">
        <v>1</v>
      </c>
      <c r="J3" s="1">
        <v>8</v>
      </c>
    </row>
    <row r="4" spans="2:10" ht="16.5" hidden="1" customHeight="1" x14ac:dyDescent="0.3">
      <c r="B4" s="1" t="s">
        <v>174</v>
      </c>
      <c r="C4" s="1" t="s">
        <v>175</v>
      </c>
      <c r="D4" s="1" t="s">
        <v>247</v>
      </c>
      <c r="E4" s="1">
        <v>79</v>
      </c>
      <c r="F4" s="1">
        <v>5</v>
      </c>
      <c r="G4" s="1" t="s">
        <v>250</v>
      </c>
      <c r="H4" s="1" t="s">
        <v>249</v>
      </c>
      <c r="I4" s="1">
        <v>2</v>
      </c>
      <c r="J4" s="1">
        <v>16</v>
      </c>
    </row>
    <row r="5" spans="2:10" x14ac:dyDescent="0.3">
      <c r="B5" s="1" t="s">
        <v>172</v>
      </c>
      <c r="C5" s="1" t="s">
        <v>173</v>
      </c>
      <c r="D5" s="1" t="s">
        <v>251</v>
      </c>
      <c r="E5" s="1">
        <v>85</v>
      </c>
      <c r="F5" s="1">
        <v>3</v>
      </c>
      <c r="G5" s="1" t="s">
        <v>248</v>
      </c>
      <c r="H5" s="1" t="s">
        <v>249</v>
      </c>
      <c r="I5" s="1">
        <v>5</v>
      </c>
      <c r="J5" s="1">
        <v>40</v>
      </c>
    </row>
    <row r="6" spans="2:10" hidden="1" x14ac:dyDescent="0.3">
      <c r="B6" s="1" t="s">
        <v>133</v>
      </c>
      <c r="C6" s="1" t="s">
        <v>134</v>
      </c>
      <c r="D6" s="1" t="s">
        <v>247</v>
      </c>
      <c r="E6" s="1">
        <v>79</v>
      </c>
      <c r="F6" s="1">
        <v>3</v>
      </c>
      <c r="G6" s="1" t="s">
        <v>248</v>
      </c>
      <c r="H6" s="1" t="s">
        <v>249</v>
      </c>
      <c r="I6" s="1">
        <v>3</v>
      </c>
      <c r="J6" s="1">
        <v>18</v>
      </c>
    </row>
    <row r="7" spans="2:10" x14ac:dyDescent="0.3">
      <c r="B7" s="1" t="s">
        <v>149</v>
      </c>
      <c r="C7" s="1" t="s">
        <v>150</v>
      </c>
      <c r="D7" s="1" t="s">
        <v>247</v>
      </c>
      <c r="E7" s="1">
        <v>73</v>
      </c>
      <c r="F7" s="1">
        <v>5</v>
      </c>
      <c r="G7" s="1" t="s">
        <v>252</v>
      </c>
      <c r="H7" s="1" t="s">
        <v>249</v>
      </c>
      <c r="I7" s="1">
        <v>7</v>
      </c>
      <c r="J7" s="1">
        <v>59</v>
      </c>
    </row>
    <row r="8" spans="2:10" hidden="1" x14ac:dyDescent="0.3">
      <c r="B8" s="1" t="s">
        <v>138</v>
      </c>
      <c r="C8" s="1" t="s">
        <v>139</v>
      </c>
      <c r="D8" s="1" t="s">
        <v>251</v>
      </c>
      <c r="E8" s="1">
        <v>64</v>
      </c>
      <c r="F8" s="1">
        <v>5</v>
      </c>
      <c r="G8" s="1" t="s">
        <v>248</v>
      </c>
      <c r="H8" s="1" t="s">
        <v>249</v>
      </c>
      <c r="I8" s="1">
        <v>2</v>
      </c>
      <c r="J8" s="1">
        <v>12</v>
      </c>
    </row>
    <row r="9" spans="2:10" hidden="1" x14ac:dyDescent="0.3">
      <c r="B9" s="1" t="s">
        <v>147</v>
      </c>
      <c r="C9" s="1" t="s">
        <v>148</v>
      </c>
      <c r="D9" s="1" t="s">
        <v>251</v>
      </c>
      <c r="E9" s="1">
        <v>65</v>
      </c>
      <c r="F9" s="1">
        <v>1</v>
      </c>
      <c r="G9" s="1" t="s">
        <v>252</v>
      </c>
      <c r="H9" s="1" t="s">
        <v>253</v>
      </c>
      <c r="I9" s="1">
        <v>5</v>
      </c>
      <c r="J9" s="1">
        <v>20</v>
      </c>
    </row>
    <row r="10" spans="2:10" hidden="1" x14ac:dyDescent="0.3">
      <c r="B10" s="1" t="s">
        <v>132</v>
      </c>
      <c r="C10" s="1" t="s">
        <v>254</v>
      </c>
      <c r="D10" s="1" t="s">
        <v>247</v>
      </c>
      <c r="E10" s="1">
        <v>74</v>
      </c>
      <c r="F10" s="1">
        <v>2</v>
      </c>
      <c r="G10" s="1" t="s">
        <v>248</v>
      </c>
      <c r="H10" s="1" t="s">
        <v>253</v>
      </c>
      <c r="I10" s="1">
        <v>7</v>
      </c>
      <c r="J10" s="1">
        <v>35</v>
      </c>
    </row>
    <row r="11" spans="2:10" hidden="1" x14ac:dyDescent="0.3">
      <c r="B11" s="1" t="s">
        <v>144</v>
      </c>
      <c r="C11" s="1" t="s">
        <v>145</v>
      </c>
      <c r="D11" s="1" t="s">
        <v>251</v>
      </c>
      <c r="E11" s="1">
        <v>50</v>
      </c>
      <c r="F11" s="1">
        <v>2</v>
      </c>
      <c r="G11" s="1" t="s">
        <v>248</v>
      </c>
      <c r="H11" s="1" t="s">
        <v>253</v>
      </c>
      <c r="I11" s="1">
        <v>3</v>
      </c>
      <c r="J11" s="1">
        <v>18</v>
      </c>
    </row>
    <row r="12" spans="2:10" hidden="1" x14ac:dyDescent="0.3">
      <c r="B12" s="1" t="s">
        <v>137</v>
      </c>
      <c r="C12" s="1" t="s">
        <v>255</v>
      </c>
      <c r="D12" s="1" t="s">
        <v>247</v>
      </c>
      <c r="E12" s="1">
        <v>93</v>
      </c>
      <c r="F12" s="1">
        <v>1</v>
      </c>
      <c r="G12" s="1" t="s">
        <v>252</v>
      </c>
      <c r="H12" s="1" t="s">
        <v>253</v>
      </c>
      <c r="I12" s="1">
        <v>4</v>
      </c>
      <c r="J12" s="1">
        <v>28</v>
      </c>
    </row>
    <row r="13" spans="2:10" hidden="1" x14ac:dyDescent="0.3">
      <c r="B13" s="1" t="s">
        <v>159</v>
      </c>
      <c r="C13" s="1" t="s">
        <v>160</v>
      </c>
      <c r="D13" s="1" t="s">
        <v>251</v>
      </c>
      <c r="E13" s="1">
        <v>89</v>
      </c>
      <c r="F13" s="1">
        <v>2</v>
      </c>
      <c r="G13" s="1" t="s">
        <v>250</v>
      </c>
      <c r="H13" s="1" t="s">
        <v>253</v>
      </c>
      <c r="I13" s="1">
        <v>6</v>
      </c>
      <c r="J13" s="1">
        <v>36</v>
      </c>
    </row>
    <row r="14" spans="2:10" hidden="1" x14ac:dyDescent="0.3">
      <c r="B14" s="1" t="s">
        <v>142</v>
      </c>
      <c r="C14" s="1" t="s">
        <v>143</v>
      </c>
      <c r="D14" s="1" t="s">
        <v>251</v>
      </c>
      <c r="E14" s="1">
        <v>93</v>
      </c>
      <c r="F14" s="1">
        <v>4</v>
      </c>
      <c r="G14" s="1" t="s">
        <v>250</v>
      </c>
      <c r="H14" s="1" t="s">
        <v>253</v>
      </c>
      <c r="I14" s="1">
        <v>4</v>
      </c>
      <c r="J14" s="1">
        <v>24</v>
      </c>
    </row>
    <row r="15" spans="2:10" hidden="1" x14ac:dyDescent="0.3">
      <c r="B15" s="1" t="s">
        <v>153</v>
      </c>
      <c r="C15" s="1" t="s">
        <v>154</v>
      </c>
      <c r="D15" s="1" t="s">
        <v>251</v>
      </c>
      <c r="E15" s="1">
        <v>51</v>
      </c>
      <c r="F15" s="1">
        <v>2</v>
      </c>
      <c r="G15" s="1" t="s">
        <v>248</v>
      </c>
      <c r="H15" s="1" t="s">
        <v>256</v>
      </c>
      <c r="I15" s="1">
        <v>2</v>
      </c>
      <c r="J15" s="1">
        <v>16</v>
      </c>
    </row>
    <row r="16" spans="2:10" x14ac:dyDescent="0.3">
      <c r="B16" s="1" t="s">
        <v>128</v>
      </c>
      <c r="C16" s="1" t="s">
        <v>129</v>
      </c>
      <c r="D16" s="1" t="s">
        <v>247</v>
      </c>
      <c r="E16" s="1">
        <v>67</v>
      </c>
      <c r="F16" s="1">
        <v>1</v>
      </c>
      <c r="G16" s="1" t="s">
        <v>252</v>
      </c>
      <c r="H16" s="1" t="s">
        <v>256</v>
      </c>
      <c r="I16" s="1">
        <v>4</v>
      </c>
      <c r="J16" s="1">
        <v>40</v>
      </c>
    </row>
    <row r="17" spans="2:10" hidden="1" x14ac:dyDescent="0.3">
      <c r="B17" s="1" t="s">
        <v>130</v>
      </c>
      <c r="C17" s="1" t="s">
        <v>131</v>
      </c>
      <c r="D17" s="1" t="s">
        <v>251</v>
      </c>
      <c r="E17" s="1">
        <v>84</v>
      </c>
      <c r="F17" s="1">
        <v>3</v>
      </c>
      <c r="G17" s="1" t="s">
        <v>250</v>
      </c>
      <c r="H17" s="1" t="s">
        <v>256</v>
      </c>
      <c r="I17" s="1">
        <v>1</v>
      </c>
      <c r="J17" s="1">
        <v>4</v>
      </c>
    </row>
    <row r="18" spans="2:10" hidden="1" x14ac:dyDescent="0.3">
      <c r="B18" s="1" t="s">
        <v>140</v>
      </c>
      <c r="C18" s="1" t="s">
        <v>141</v>
      </c>
      <c r="D18" s="1" t="s">
        <v>247</v>
      </c>
      <c r="E18" s="1">
        <v>80</v>
      </c>
      <c r="F18" s="1">
        <v>4</v>
      </c>
      <c r="G18" s="1" t="s">
        <v>250</v>
      </c>
      <c r="H18" s="1" t="s">
        <v>256</v>
      </c>
      <c r="I18" s="1">
        <v>2</v>
      </c>
      <c r="J18" s="1">
        <v>12</v>
      </c>
    </row>
    <row r="19" spans="2:10" hidden="1" x14ac:dyDescent="0.3">
      <c r="B19" s="1" t="s">
        <v>146</v>
      </c>
      <c r="C19" s="1" t="s">
        <v>257</v>
      </c>
      <c r="D19" s="1" t="s">
        <v>247</v>
      </c>
      <c r="E19" s="1">
        <v>95</v>
      </c>
      <c r="F19" s="1">
        <v>1</v>
      </c>
      <c r="G19" s="1" t="s">
        <v>250</v>
      </c>
      <c r="H19" s="1" t="s">
        <v>256</v>
      </c>
      <c r="I19" s="1">
        <v>3</v>
      </c>
      <c r="J19" s="1">
        <v>27</v>
      </c>
    </row>
    <row r="20" spans="2:10" x14ac:dyDescent="0.3">
      <c r="B20" s="1" t="s">
        <v>151</v>
      </c>
      <c r="C20" s="1" t="s">
        <v>152</v>
      </c>
      <c r="D20" s="1" t="s">
        <v>251</v>
      </c>
      <c r="E20" s="1">
        <v>82</v>
      </c>
      <c r="F20" s="1">
        <v>1</v>
      </c>
      <c r="G20" s="1" t="s">
        <v>248</v>
      </c>
      <c r="H20" s="1" t="s">
        <v>256</v>
      </c>
      <c r="I20" s="1">
        <v>6</v>
      </c>
      <c r="J20" s="1">
        <v>54</v>
      </c>
    </row>
    <row r="21" spans="2:10" x14ac:dyDescent="0.3">
      <c r="B21" s="1" t="s">
        <v>170</v>
      </c>
      <c r="C21" s="1" t="s">
        <v>171</v>
      </c>
      <c r="D21" s="1" t="s">
        <v>251</v>
      </c>
      <c r="E21" s="1">
        <v>77</v>
      </c>
      <c r="F21" s="1">
        <v>1</v>
      </c>
      <c r="G21" s="1" t="s">
        <v>250</v>
      </c>
      <c r="H21" s="1" t="s">
        <v>256</v>
      </c>
      <c r="I21" s="1">
        <v>7</v>
      </c>
      <c r="J21" s="1">
        <v>70</v>
      </c>
    </row>
    <row r="22" spans="2:10" hidden="1" x14ac:dyDescent="0.3">
      <c r="B22" s="1" t="s">
        <v>165</v>
      </c>
      <c r="C22" s="1" t="s">
        <v>166</v>
      </c>
      <c r="D22" s="1" t="s">
        <v>251</v>
      </c>
      <c r="E22" s="1">
        <v>89</v>
      </c>
      <c r="F22" s="1">
        <v>3</v>
      </c>
      <c r="G22" s="1" t="s">
        <v>252</v>
      </c>
      <c r="H22" s="1" t="s">
        <v>258</v>
      </c>
      <c r="I22" s="1">
        <v>1</v>
      </c>
      <c r="J22" s="1">
        <v>4</v>
      </c>
    </row>
    <row r="23" spans="2:10" hidden="1" x14ac:dyDescent="0.3">
      <c r="B23" s="1" t="s">
        <v>155</v>
      </c>
      <c r="C23" s="1" t="s">
        <v>156</v>
      </c>
      <c r="D23" s="1" t="s">
        <v>251</v>
      </c>
      <c r="E23" s="1">
        <v>83</v>
      </c>
      <c r="F23" s="1">
        <v>1</v>
      </c>
      <c r="G23" s="1" t="s">
        <v>252</v>
      </c>
      <c r="H23" s="1" t="s">
        <v>258</v>
      </c>
      <c r="I23" s="1">
        <v>1</v>
      </c>
      <c r="J23" s="1">
        <v>4</v>
      </c>
    </row>
    <row r="24" spans="2:10" x14ac:dyDescent="0.3">
      <c r="B24" s="1" t="s">
        <v>157</v>
      </c>
      <c r="C24" s="1" t="s">
        <v>158</v>
      </c>
      <c r="D24" s="1" t="s">
        <v>247</v>
      </c>
      <c r="E24" s="1">
        <v>56</v>
      </c>
      <c r="F24" s="1">
        <v>1</v>
      </c>
      <c r="G24" s="1" t="s">
        <v>252</v>
      </c>
      <c r="H24" s="1" t="s">
        <v>258</v>
      </c>
      <c r="I24" s="1">
        <v>6</v>
      </c>
      <c r="J24" s="1">
        <v>54</v>
      </c>
    </row>
    <row r="25" spans="2:10" hidden="1" x14ac:dyDescent="0.3">
      <c r="B25" s="1" t="s">
        <v>161</v>
      </c>
      <c r="C25" s="1" t="s">
        <v>162</v>
      </c>
      <c r="D25" s="1" t="s">
        <v>251</v>
      </c>
      <c r="E25" s="1">
        <v>88</v>
      </c>
      <c r="F25" s="1">
        <v>5</v>
      </c>
      <c r="G25" s="1" t="s">
        <v>252</v>
      </c>
      <c r="H25" s="1" t="s">
        <v>258</v>
      </c>
      <c r="I25" s="1">
        <v>7</v>
      </c>
      <c r="J25" s="1">
        <v>28</v>
      </c>
    </row>
    <row r="26" spans="2:10" hidden="1" x14ac:dyDescent="0.3">
      <c r="B26" s="1" t="s">
        <v>163</v>
      </c>
      <c r="C26" s="1" t="s">
        <v>164</v>
      </c>
      <c r="D26" s="1" t="s">
        <v>251</v>
      </c>
      <c r="E26" s="1">
        <v>64</v>
      </c>
      <c r="F26" s="1">
        <v>5</v>
      </c>
      <c r="G26" s="1" t="s">
        <v>250</v>
      </c>
      <c r="H26" s="1" t="s">
        <v>258</v>
      </c>
      <c r="I26" s="1">
        <v>2</v>
      </c>
      <c r="J26" s="1">
        <v>8</v>
      </c>
    </row>
    <row r="27" spans="2:10" hidden="1" x14ac:dyDescent="0.3">
      <c r="B27" s="1" t="s">
        <v>135</v>
      </c>
      <c r="C27" s="1" t="s">
        <v>136</v>
      </c>
      <c r="D27" s="1" t="s">
        <v>251</v>
      </c>
      <c r="E27" s="1">
        <v>81</v>
      </c>
      <c r="F27" s="1">
        <v>5</v>
      </c>
      <c r="G27" s="1" t="s">
        <v>250</v>
      </c>
      <c r="H27" s="1" t="s">
        <v>258</v>
      </c>
      <c r="I27" s="1">
        <v>4</v>
      </c>
      <c r="J27" s="1">
        <v>24</v>
      </c>
    </row>
    <row r="28" spans="2:10" x14ac:dyDescent="0.3">
      <c r="B28" s="1" t="s">
        <v>167</v>
      </c>
      <c r="C28" s="1" t="s">
        <v>168</v>
      </c>
      <c r="D28" s="1" t="s">
        <v>251</v>
      </c>
      <c r="E28" s="1">
        <v>53</v>
      </c>
      <c r="F28" s="1">
        <v>1</v>
      </c>
      <c r="G28" s="1" t="s">
        <v>252</v>
      </c>
      <c r="H28" s="1" t="s">
        <v>258</v>
      </c>
      <c r="I28" s="1">
        <v>5</v>
      </c>
      <c r="J28" s="1">
        <v>45</v>
      </c>
    </row>
  </sheetData>
  <autoFilter ref="B2:J28" xr:uid="{00000000-0009-0000-0000-000004000000}">
    <filterColumn colId="8">
      <top10 percent="1" val="25" filterVal="40"/>
    </filterColumn>
    <sortState xmlns:xlrd2="http://schemas.microsoft.com/office/spreadsheetml/2017/richdata2" ref="B3:J28">
      <sortCondition ref="H2:H28"/>
    </sortState>
  </autoFilter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400-000000000000}">
      <formula1>1</formula1>
      <formula2>5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20"/>
  <sheetViews>
    <sheetView workbookViewId="0"/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t="s">
        <v>291</v>
      </c>
    </row>
    <row r="2" spans="1:6" x14ac:dyDescent="0.3">
      <c r="A2" s="1" t="s">
        <v>176</v>
      </c>
      <c r="B2" s="1" t="s">
        <v>2</v>
      </c>
      <c r="C2" s="1" t="s">
        <v>177</v>
      </c>
      <c r="D2" s="1" t="s">
        <v>178</v>
      </c>
      <c r="E2" s="1" t="s">
        <v>179</v>
      </c>
      <c r="F2" s="1" t="s">
        <v>292</v>
      </c>
    </row>
    <row r="3" spans="1:6" x14ac:dyDescent="0.3">
      <c r="A3" s="7" t="s">
        <v>180</v>
      </c>
      <c r="B3" s="7" t="s">
        <v>181</v>
      </c>
      <c r="C3" s="7" t="s">
        <v>182</v>
      </c>
      <c r="D3" s="7" t="s">
        <v>183</v>
      </c>
      <c r="E3" s="8">
        <v>44640</v>
      </c>
      <c r="F3" s="22">
        <v>3</v>
      </c>
    </row>
    <row r="4" spans="1:6" x14ac:dyDescent="0.3">
      <c r="A4" s="7" t="s">
        <v>184</v>
      </c>
      <c r="B4" s="7" t="s">
        <v>43</v>
      </c>
      <c r="C4" s="7" t="s">
        <v>185</v>
      </c>
      <c r="D4" s="7" t="s">
        <v>77</v>
      </c>
      <c r="E4" s="8">
        <v>44750</v>
      </c>
      <c r="F4" s="22">
        <v>3</v>
      </c>
    </row>
    <row r="5" spans="1:6" x14ac:dyDescent="0.3">
      <c r="A5" s="7" t="s">
        <v>186</v>
      </c>
      <c r="B5" s="7" t="s">
        <v>187</v>
      </c>
      <c r="C5" s="7" t="s">
        <v>188</v>
      </c>
      <c r="D5" s="7" t="s">
        <v>47</v>
      </c>
      <c r="E5" s="8">
        <v>44693</v>
      </c>
      <c r="F5" s="22">
        <v>2</v>
      </c>
    </row>
    <row r="6" spans="1:6" x14ac:dyDescent="0.3">
      <c r="A6" s="7" t="s">
        <v>189</v>
      </c>
      <c r="B6" s="7" t="s">
        <v>190</v>
      </c>
      <c r="C6" s="7" t="s">
        <v>191</v>
      </c>
      <c r="D6" s="7" t="s">
        <v>192</v>
      </c>
      <c r="E6" s="8">
        <v>44764</v>
      </c>
      <c r="F6" s="22">
        <v>3</v>
      </c>
    </row>
    <row r="7" spans="1:6" x14ac:dyDescent="0.3">
      <c r="A7" s="7" t="s">
        <v>193</v>
      </c>
      <c r="B7" s="7" t="s">
        <v>194</v>
      </c>
      <c r="C7" s="7" t="s">
        <v>185</v>
      </c>
      <c r="D7" s="7" t="s">
        <v>77</v>
      </c>
      <c r="E7" s="8">
        <v>44715</v>
      </c>
      <c r="F7" s="22">
        <v>1</v>
      </c>
    </row>
    <row r="8" spans="1:6" x14ac:dyDescent="0.3">
      <c r="A8" s="7" t="s">
        <v>195</v>
      </c>
      <c r="B8" s="7" t="s">
        <v>75</v>
      </c>
      <c r="C8" s="7" t="s">
        <v>196</v>
      </c>
      <c r="D8" s="7" t="s">
        <v>197</v>
      </c>
      <c r="E8" s="8">
        <v>44726</v>
      </c>
      <c r="F8" s="22">
        <v>3</v>
      </c>
    </row>
    <row r="9" spans="1:6" x14ac:dyDescent="0.3">
      <c r="A9" s="7" t="s">
        <v>198</v>
      </c>
      <c r="B9" s="7" t="s">
        <v>45</v>
      </c>
      <c r="C9" s="7" t="s">
        <v>199</v>
      </c>
      <c r="D9" s="7" t="s">
        <v>71</v>
      </c>
      <c r="E9" s="8">
        <v>44626</v>
      </c>
      <c r="F9" s="22">
        <v>1</v>
      </c>
    </row>
    <row r="10" spans="1:6" x14ac:dyDescent="0.3">
      <c r="A10" s="7" t="s">
        <v>200</v>
      </c>
      <c r="B10" s="7" t="s">
        <v>201</v>
      </c>
      <c r="C10" s="7" t="s">
        <v>202</v>
      </c>
      <c r="D10" s="7" t="s">
        <v>203</v>
      </c>
      <c r="E10" s="8">
        <v>44751</v>
      </c>
      <c r="F10" s="22">
        <v>2</v>
      </c>
    </row>
    <row r="11" spans="1:6" x14ac:dyDescent="0.3">
      <c r="A11" s="7" t="s">
        <v>204</v>
      </c>
      <c r="B11" s="7" t="s">
        <v>205</v>
      </c>
      <c r="C11" s="7" t="s">
        <v>196</v>
      </c>
      <c r="D11" s="7" t="s">
        <v>197</v>
      </c>
      <c r="E11" s="8">
        <v>44686</v>
      </c>
      <c r="F11" s="22">
        <v>1</v>
      </c>
    </row>
    <row r="12" spans="1:6" x14ac:dyDescent="0.3">
      <c r="A12" s="7" t="s">
        <v>206</v>
      </c>
      <c r="B12" s="7" t="s">
        <v>207</v>
      </c>
      <c r="C12" s="7" t="s">
        <v>188</v>
      </c>
      <c r="D12" s="7" t="s">
        <v>47</v>
      </c>
      <c r="E12" s="8">
        <v>44750</v>
      </c>
      <c r="F12" s="22">
        <v>2</v>
      </c>
    </row>
    <row r="13" spans="1:6" x14ac:dyDescent="0.3">
      <c r="A13" s="7" t="s">
        <v>208</v>
      </c>
      <c r="B13" s="7" t="s">
        <v>209</v>
      </c>
      <c r="C13" s="7" t="s">
        <v>185</v>
      </c>
      <c r="D13" s="7" t="s">
        <v>77</v>
      </c>
      <c r="E13" s="8">
        <v>44770</v>
      </c>
      <c r="F13" s="22">
        <v>1</v>
      </c>
    </row>
    <row r="14" spans="1:6" x14ac:dyDescent="0.3">
      <c r="A14" s="7" t="s">
        <v>210</v>
      </c>
      <c r="B14" s="7" t="s">
        <v>36</v>
      </c>
      <c r="C14" s="7" t="s">
        <v>188</v>
      </c>
      <c r="D14" s="7" t="s">
        <v>47</v>
      </c>
      <c r="E14" s="8">
        <v>44640</v>
      </c>
      <c r="F14" s="22">
        <v>1</v>
      </c>
    </row>
    <row r="15" spans="1:6" x14ac:dyDescent="0.3">
      <c r="A15" s="7" t="s">
        <v>211</v>
      </c>
      <c r="B15" s="7" t="s">
        <v>212</v>
      </c>
      <c r="C15" s="7" t="s">
        <v>196</v>
      </c>
      <c r="D15" s="7" t="s">
        <v>197</v>
      </c>
      <c r="E15" s="8">
        <v>44740</v>
      </c>
      <c r="F15" s="22">
        <v>3</v>
      </c>
    </row>
    <row r="16" spans="1:6" x14ac:dyDescent="0.3">
      <c r="A16" s="7" t="s">
        <v>213</v>
      </c>
      <c r="B16" s="7" t="s">
        <v>214</v>
      </c>
      <c r="C16" s="7" t="s">
        <v>188</v>
      </c>
      <c r="D16" s="7" t="s">
        <v>47</v>
      </c>
      <c r="E16" s="8">
        <v>44769</v>
      </c>
      <c r="F16" s="22">
        <v>1</v>
      </c>
    </row>
    <row r="17" spans="1:6" x14ac:dyDescent="0.3">
      <c r="A17" s="7" t="s">
        <v>215</v>
      </c>
      <c r="B17" s="7" t="s">
        <v>52</v>
      </c>
      <c r="C17" s="7" t="s">
        <v>202</v>
      </c>
      <c r="D17" s="7" t="s">
        <v>203</v>
      </c>
      <c r="E17" s="8">
        <v>44640</v>
      </c>
      <c r="F17" s="22">
        <v>2</v>
      </c>
    </row>
    <row r="18" spans="1:6" x14ac:dyDescent="0.3">
      <c r="A18" s="7" t="s">
        <v>216</v>
      </c>
      <c r="B18" s="7" t="s">
        <v>217</v>
      </c>
      <c r="C18" s="7" t="s">
        <v>218</v>
      </c>
      <c r="D18" s="7" t="s">
        <v>49</v>
      </c>
      <c r="E18" s="8">
        <v>44667</v>
      </c>
      <c r="F18" s="22">
        <v>1</v>
      </c>
    </row>
    <row r="19" spans="1:6" x14ac:dyDescent="0.3">
      <c r="A19" s="7" t="s">
        <v>219</v>
      </c>
      <c r="B19" s="7" t="s">
        <v>220</v>
      </c>
      <c r="C19" s="7" t="s">
        <v>218</v>
      </c>
      <c r="D19" s="7" t="s">
        <v>49</v>
      </c>
      <c r="E19" s="8">
        <v>44765</v>
      </c>
      <c r="F19" s="22">
        <v>2</v>
      </c>
    </row>
    <row r="20" spans="1:6" x14ac:dyDescent="0.3">
      <c r="A20" s="7" t="s">
        <v>221</v>
      </c>
      <c r="B20" s="7" t="s">
        <v>222</v>
      </c>
      <c r="C20" s="7" t="s">
        <v>182</v>
      </c>
      <c r="D20" s="7" t="s">
        <v>183</v>
      </c>
      <c r="E20" s="8">
        <v>44734</v>
      </c>
      <c r="F20" s="22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G12"/>
  <sheetViews>
    <sheetView workbookViewId="0"/>
  </sheetViews>
  <sheetFormatPr defaultRowHeight="16.5" x14ac:dyDescent="0.3"/>
  <cols>
    <col min="4" max="4" width="11" bestFit="1" customWidth="1"/>
    <col min="6" max="6" width="9.375" bestFit="1" customWidth="1"/>
    <col min="7" max="7" width="15.125" bestFit="1" customWidth="1"/>
  </cols>
  <sheetData>
    <row r="1" spans="2:7" x14ac:dyDescent="0.3">
      <c r="B1" t="s">
        <v>223</v>
      </c>
      <c r="C1" t="s">
        <v>224</v>
      </c>
    </row>
    <row r="2" spans="2:7" x14ac:dyDescent="0.3">
      <c r="B2" s="1" t="s">
        <v>225</v>
      </c>
      <c r="C2" s="1" t="s">
        <v>226</v>
      </c>
      <c r="D2" s="1" t="s">
        <v>227</v>
      </c>
      <c r="E2" s="1" t="s">
        <v>228</v>
      </c>
      <c r="F2" s="1" t="s">
        <v>229</v>
      </c>
      <c r="G2" s="1" t="s">
        <v>230</v>
      </c>
    </row>
    <row r="3" spans="2:7" x14ac:dyDescent="0.3">
      <c r="B3" s="1">
        <v>502</v>
      </c>
      <c r="C3" s="1">
        <v>1</v>
      </c>
      <c r="D3" s="1">
        <v>423</v>
      </c>
      <c r="E3" s="6">
        <v>25000</v>
      </c>
      <c r="F3" s="6">
        <v>183987.1</v>
      </c>
      <c r="G3" s="4">
        <v>833</v>
      </c>
    </row>
    <row r="4" spans="2:7" x14ac:dyDescent="0.3">
      <c r="B4" s="1">
        <v>503</v>
      </c>
      <c r="C4" s="1">
        <v>2</v>
      </c>
      <c r="D4" s="1">
        <v>438</v>
      </c>
      <c r="E4" s="6">
        <v>25000</v>
      </c>
      <c r="F4" s="6">
        <v>190252.6</v>
      </c>
      <c r="G4" s="4">
        <v>500</v>
      </c>
    </row>
    <row r="5" spans="2:7" x14ac:dyDescent="0.3">
      <c r="B5" s="1">
        <v>603</v>
      </c>
      <c r="C5" s="1">
        <v>6</v>
      </c>
      <c r="D5" s="1">
        <v>741</v>
      </c>
      <c r="E5" s="6">
        <v>25000</v>
      </c>
      <c r="F5" s="6">
        <v>507135.12999999995</v>
      </c>
      <c r="G5" s="4">
        <v>500</v>
      </c>
    </row>
    <row r="6" spans="2:7" x14ac:dyDescent="0.3">
      <c r="B6" s="1">
        <v>401</v>
      </c>
      <c r="C6" s="1">
        <v>4</v>
      </c>
      <c r="D6" s="1">
        <v>548</v>
      </c>
      <c r="E6" s="6">
        <v>25000</v>
      </c>
      <c r="F6" s="6">
        <v>382305.7</v>
      </c>
      <c r="G6" s="4">
        <v>1250</v>
      </c>
    </row>
    <row r="7" spans="2:7" x14ac:dyDescent="0.3">
      <c r="B7" s="1">
        <v>301</v>
      </c>
      <c r="C7" s="1">
        <v>6</v>
      </c>
      <c r="D7" s="1">
        <v>154</v>
      </c>
      <c r="E7" s="6">
        <v>25000</v>
      </c>
      <c r="F7" s="6">
        <v>2817.136</v>
      </c>
      <c r="G7" s="4">
        <v>1250</v>
      </c>
    </row>
    <row r="8" spans="2:7" x14ac:dyDescent="0.3">
      <c r="B8" s="1">
        <v>402</v>
      </c>
      <c r="C8" s="1">
        <v>2</v>
      </c>
      <c r="D8" s="1">
        <v>203</v>
      </c>
      <c r="E8" s="6">
        <v>25000</v>
      </c>
      <c r="F8" s="6">
        <v>39743.700000000004</v>
      </c>
      <c r="G8" s="4">
        <v>833</v>
      </c>
    </row>
    <row r="9" spans="2:7" x14ac:dyDescent="0.3">
      <c r="B9" s="1">
        <v>901</v>
      </c>
      <c r="C9" s="1">
        <v>3</v>
      </c>
      <c r="D9" s="1">
        <v>457</v>
      </c>
      <c r="E9" s="6">
        <v>25000</v>
      </c>
      <c r="F9" s="6">
        <v>188644.45499999999</v>
      </c>
      <c r="G9" s="4">
        <v>1250</v>
      </c>
    </row>
    <row r="10" spans="2:7" x14ac:dyDescent="0.3">
      <c r="B10" s="1">
        <v>402</v>
      </c>
      <c r="C10" s="1">
        <v>5</v>
      </c>
      <c r="D10" s="1">
        <v>492</v>
      </c>
      <c r="E10" s="6">
        <v>25000</v>
      </c>
      <c r="F10" s="6">
        <v>200477.89599999998</v>
      </c>
      <c r="G10" s="4">
        <v>833</v>
      </c>
    </row>
    <row r="11" spans="2:7" x14ac:dyDescent="0.3">
      <c r="B11" s="1">
        <v>402</v>
      </c>
      <c r="C11" s="1">
        <v>5</v>
      </c>
      <c r="D11" s="1">
        <v>766</v>
      </c>
      <c r="E11" s="6">
        <v>25000</v>
      </c>
      <c r="F11" s="6">
        <v>523808.37999999995</v>
      </c>
      <c r="G11" s="4">
        <v>833</v>
      </c>
    </row>
    <row r="12" spans="2:7" x14ac:dyDescent="0.3">
      <c r="B12" s="1">
        <v>902</v>
      </c>
      <c r="C12" s="1">
        <v>2</v>
      </c>
      <c r="D12" s="1">
        <v>660</v>
      </c>
      <c r="E12" s="6">
        <v>25000</v>
      </c>
      <c r="F12" s="6">
        <v>481210</v>
      </c>
      <c r="G12" s="4">
        <v>833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4:P21"/>
  <sheetViews>
    <sheetView workbookViewId="0"/>
  </sheetViews>
  <sheetFormatPr defaultColWidth="9" defaultRowHeight="16.5" x14ac:dyDescent="0.3"/>
  <cols>
    <col min="1" max="1" width="9" style="9"/>
    <col min="2" max="2" width="11.125" style="10" bestFit="1" customWidth="1"/>
    <col min="3" max="3" width="9" style="10"/>
    <col min="4" max="5" width="11" style="10" bestFit="1" customWidth="1"/>
    <col min="6" max="6" width="11" style="11" customWidth="1"/>
    <col min="7" max="11" width="9" style="9"/>
    <col min="12" max="12" width="9" style="11"/>
    <col min="13" max="15" width="9" style="9"/>
    <col min="16" max="16" width="9" style="10"/>
    <col min="17" max="16384" width="9" style="9"/>
  </cols>
  <sheetData>
    <row r="4" spans="2:16" x14ac:dyDescent="0.3">
      <c r="B4" s="10" t="s">
        <v>306</v>
      </c>
      <c r="M4" s="10" t="s">
        <v>308</v>
      </c>
    </row>
    <row r="5" spans="2:16" x14ac:dyDescent="0.3">
      <c r="B5" s="12" t="s">
        <v>309</v>
      </c>
      <c r="C5" s="12" t="s">
        <v>310</v>
      </c>
      <c r="D5" s="12" t="s">
        <v>311</v>
      </c>
      <c r="E5" s="13" t="s">
        <v>312</v>
      </c>
      <c r="F5" s="12" t="s">
        <v>313</v>
      </c>
      <c r="G5" s="12" t="s">
        <v>314</v>
      </c>
      <c r="H5" s="13" t="s">
        <v>315</v>
      </c>
      <c r="I5" s="14"/>
      <c r="J5" s="14"/>
      <c r="K5" s="14"/>
      <c r="L5" s="9"/>
      <c r="M5" s="12" t="s">
        <v>316</v>
      </c>
      <c r="N5" s="12" t="s">
        <v>312</v>
      </c>
      <c r="P5" s="9"/>
    </row>
    <row r="6" spans="2:16" x14ac:dyDescent="0.3">
      <c r="B6" s="10" t="s">
        <v>231</v>
      </c>
      <c r="C6" s="10" t="s">
        <v>232</v>
      </c>
      <c r="D6" s="10" t="s">
        <v>233</v>
      </c>
      <c r="E6" s="11">
        <v>3000</v>
      </c>
      <c r="F6" s="15">
        <v>0.54166666666666663</v>
      </c>
      <c r="G6" s="15">
        <v>0.625</v>
      </c>
      <c r="H6" s="11">
        <v>6000</v>
      </c>
      <c r="I6" s="16"/>
      <c r="J6" s="11"/>
      <c r="K6" s="11"/>
      <c r="L6" s="9"/>
      <c r="M6" s="2" t="s">
        <v>317</v>
      </c>
      <c r="N6" s="17">
        <v>0</v>
      </c>
      <c r="P6" s="9"/>
    </row>
    <row r="7" spans="2:16" x14ac:dyDescent="0.3">
      <c r="B7" s="10" t="s">
        <v>234</v>
      </c>
      <c r="C7" s="10" t="s">
        <v>235</v>
      </c>
      <c r="D7" s="10" t="s">
        <v>236</v>
      </c>
      <c r="E7" s="11">
        <v>4000</v>
      </c>
      <c r="F7" s="15">
        <v>0.65277777777777779</v>
      </c>
      <c r="G7" s="15">
        <v>0.72916666666666663</v>
      </c>
      <c r="H7" s="11">
        <v>8000</v>
      </c>
      <c r="I7" s="16"/>
      <c r="J7" s="11"/>
      <c r="K7" s="11"/>
      <c r="L7" s="9"/>
      <c r="M7" s="2" t="s">
        <v>307</v>
      </c>
      <c r="N7" s="17">
        <v>3000</v>
      </c>
      <c r="P7" s="9"/>
    </row>
    <row r="8" spans="2:16" x14ac:dyDescent="0.3">
      <c r="E8" s="11"/>
      <c r="F8" s="15"/>
      <c r="G8" s="15"/>
      <c r="H8" s="11"/>
      <c r="I8" s="11"/>
      <c r="J8" s="11"/>
      <c r="K8" s="11"/>
      <c r="L8" s="9"/>
      <c r="M8" s="2" t="s">
        <v>318</v>
      </c>
      <c r="N8" s="17">
        <v>4000</v>
      </c>
      <c r="P8" s="9"/>
    </row>
    <row r="9" spans="2:16" x14ac:dyDescent="0.3">
      <c r="E9" s="11"/>
      <c r="F9" s="15"/>
      <c r="G9" s="15"/>
      <c r="H9" s="11"/>
      <c r="I9" s="11"/>
      <c r="J9" s="11"/>
      <c r="K9" s="11"/>
      <c r="L9" s="9"/>
      <c r="M9" s="10"/>
      <c r="P9" s="9"/>
    </row>
    <row r="10" spans="2:16" x14ac:dyDescent="0.3">
      <c r="E10" s="11"/>
      <c r="F10" s="15"/>
      <c r="G10" s="15"/>
      <c r="H10" s="11"/>
      <c r="I10" s="11"/>
      <c r="J10" s="11"/>
      <c r="K10" s="11"/>
      <c r="L10" s="9"/>
      <c r="M10" s="10"/>
      <c r="P10" s="9"/>
    </row>
    <row r="11" spans="2:16" x14ac:dyDescent="0.3">
      <c r="E11" s="11"/>
      <c r="F11" s="15"/>
      <c r="G11" s="15"/>
      <c r="H11" s="11"/>
      <c r="I11" s="11"/>
      <c r="J11" s="11"/>
      <c r="K11" s="11"/>
      <c r="L11" s="9"/>
      <c r="M11" s="10"/>
      <c r="P11" s="9"/>
    </row>
    <row r="12" spans="2:16" x14ac:dyDescent="0.3">
      <c r="E12" s="11"/>
      <c r="F12" s="15"/>
      <c r="G12" s="15"/>
      <c r="H12" s="11"/>
      <c r="I12" s="11"/>
      <c r="J12" s="11"/>
      <c r="K12" s="11"/>
      <c r="L12" s="9"/>
      <c r="M12" s="10"/>
      <c r="P12" s="9"/>
    </row>
    <row r="13" spans="2:16" x14ac:dyDescent="0.3">
      <c r="E13" s="11"/>
      <c r="F13" s="15"/>
      <c r="G13" s="15"/>
      <c r="H13" s="11"/>
      <c r="I13" s="11"/>
      <c r="J13" s="11"/>
      <c r="K13" s="11"/>
      <c r="L13" s="9"/>
      <c r="M13" s="10"/>
      <c r="P13" s="9"/>
    </row>
    <row r="14" spans="2:16" x14ac:dyDescent="0.3">
      <c r="E14" s="11"/>
      <c r="F14" s="15"/>
      <c r="G14" s="15"/>
      <c r="H14" s="11"/>
      <c r="I14" s="11"/>
      <c r="J14" s="11"/>
      <c r="K14" s="11"/>
      <c r="L14" s="9"/>
      <c r="M14" s="10"/>
      <c r="P14" s="9"/>
    </row>
    <row r="15" spans="2:16" x14ac:dyDescent="0.3">
      <c r="E15" s="11"/>
      <c r="F15" s="15"/>
      <c r="G15" s="15"/>
      <c r="H15" s="11"/>
      <c r="I15" s="11"/>
      <c r="J15" s="11"/>
      <c r="K15" s="11"/>
      <c r="L15" s="9"/>
      <c r="M15" s="10"/>
      <c r="P15" s="9"/>
    </row>
    <row r="16" spans="2:16" x14ac:dyDescent="0.3">
      <c r="E16" s="11"/>
      <c r="F16" s="15"/>
      <c r="G16" s="15"/>
      <c r="H16" s="11"/>
      <c r="I16" s="11"/>
      <c r="J16" s="11"/>
      <c r="K16" s="11"/>
      <c r="L16" s="9"/>
      <c r="M16" s="10"/>
      <c r="P16" s="9"/>
    </row>
    <row r="17" spans="5:16" x14ac:dyDescent="0.3">
      <c r="E17" s="11"/>
      <c r="F17" s="15"/>
      <c r="G17" s="15"/>
      <c r="H17" s="11"/>
      <c r="I17" s="11"/>
      <c r="J17" s="11"/>
      <c r="K17" s="11"/>
      <c r="L17" s="9"/>
      <c r="M17" s="10"/>
      <c r="P17" s="9"/>
    </row>
    <row r="18" spans="5:16" x14ac:dyDescent="0.3">
      <c r="E18" s="11"/>
      <c r="F18" s="15"/>
      <c r="G18" s="15"/>
      <c r="H18" s="11"/>
      <c r="I18" s="11"/>
      <c r="J18" s="11"/>
      <c r="K18" s="11"/>
      <c r="L18" s="9"/>
      <c r="M18" s="10"/>
      <c r="P18" s="9"/>
    </row>
    <row r="19" spans="5:16" x14ac:dyDescent="0.3">
      <c r="E19" s="11"/>
      <c r="F19" s="9"/>
      <c r="H19" s="11"/>
      <c r="I19" s="11"/>
      <c r="J19" s="11"/>
      <c r="K19" s="11"/>
      <c r="L19" s="9"/>
      <c r="M19" s="10"/>
      <c r="P19" s="9"/>
    </row>
    <row r="20" spans="5:16" x14ac:dyDescent="0.3">
      <c r="E20" s="11"/>
      <c r="F20" s="9"/>
      <c r="H20" s="11"/>
      <c r="I20" s="11"/>
      <c r="J20" s="11"/>
      <c r="K20" s="11"/>
      <c r="L20" s="9"/>
      <c r="M20" s="10"/>
      <c r="P20" s="9"/>
    </row>
    <row r="21" spans="5:16" x14ac:dyDescent="0.3">
      <c r="I21" s="11"/>
      <c r="J21" s="11"/>
      <c r="K21" s="11"/>
      <c r="L21" s="9"/>
      <c r="M21" s="10"/>
      <c r="P21" s="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95250</xdr:rowOff>
              </to>
            </anchor>
          </controlPr>
        </control>
      </mc:Choice>
      <mc:Fallback>
        <control shapeId="25601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821052614946</dc:creator>
  <cp:lastModifiedBy>Windows 사용자</cp:lastModifiedBy>
  <cp:lastPrinted>2023-10-19T06:16:01Z</cp:lastPrinted>
  <dcterms:created xsi:type="dcterms:W3CDTF">2023-10-19T05:14:56Z</dcterms:created>
  <dcterms:modified xsi:type="dcterms:W3CDTF">2023-10-26T06:38:07Z</dcterms:modified>
</cp:coreProperties>
</file>